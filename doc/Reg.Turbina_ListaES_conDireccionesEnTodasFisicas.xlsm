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evelop\Reg.Turbina\"/>
    </mc:Choice>
  </mc:AlternateContent>
  <xr:revisionPtr revIDLastSave="0" documentId="13_ncr:1_{25F06984-8D06-4024-88C0-DFB828848D1E}" xr6:coauthVersionLast="44" xr6:coauthVersionMax="44" xr10:uidLastSave="{00000000-0000-0000-0000-000000000000}"/>
  <bookViews>
    <workbookView xWindow="0" yWindow="0" windowWidth="23040" windowHeight="12360" activeTab="1" xr2:uid="{1EE68CC1-8CA6-4FE6-83CB-4E69CA513F72}"/>
  </bookViews>
  <sheets>
    <sheet name="Entradas Digitales" sheetId="1" r:id="rId1"/>
    <sheet name="Entradas Analogicas" sheetId="2" r:id="rId2"/>
    <sheet name="Salidas Digitales" sheetId="3" r:id="rId3"/>
    <sheet name="Salidas Analogicas" sheetId="4" r:id="rId4"/>
    <sheet name="Macros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73" i="2" l="1"/>
  <c r="K74" i="2" s="1"/>
  <c r="K75" i="2" s="1"/>
  <c r="K76" i="2" s="1"/>
  <c r="K77" i="2" s="1"/>
  <c r="K25" i="2"/>
  <c r="K26" i="2" s="1"/>
  <c r="K27" i="2" s="1"/>
  <c r="K28" i="2" s="1"/>
  <c r="K29" i="2" s="1"/>
  <c r="K30" i="2" s="1"/>
  <c r="K31" i="2" s="1"/>
  <c r="K32" i="2" s="1"/>
  <c r="K33" i="2" s="1"/>
  <c r="K34" i="2" s="1"/>
  <c r="K35" i="2" s="1"/>
  <c r="K36" i="2" s="1"/>
  <c r="K37" i="2" s="1"/>
  <c r="K38" i="2" s="1"/>
  <c r="K39" i="2" s="1"/>
  <c r="K40" i="2" s="1"/>
  <c r="K41" i="2" s="1"/>
  <c r="K42" i="2" s="1"/>
  <c r="K43" i="2" s="1"/>
  <c r="K44" i="2" s="1"/>
  <c r="K45" i="2" s="1"/>
  <c r="K46" i="2" s="1"/>
  <c r="K47" i="2" s="1"/>
  <c r="K48" i="2" s="1"/>
  <c r="K49" i="2" s="1"/>
  <c r="K50" i="2" s="1"/>
  <c r="K51" i="2" s="1"/>
  <c r="K52" i="2" s="1"/>
  <c r="K53" i="2" s="1"/>
  <c r="K54" i="2" s="1"/>
  <c r="K55" i="2" s="1"/>
  <c r="K56" i="2" s="1"/>
  <c r="K57" i="2" s="1"/>
  <c r="K58" i="2" s="1"/>
  <c r="K59" i="2" s="1"/>
  <c r="K60" i="2" s="1"/>
  <c r="K61" i="2" s="1"/>
  <c r="K62" i="2" s="1"/>
  <c r="K63" i="2" s="1"/>
  <c r="K64" i="2" s="1"/>
  <c r="K65" i="2" s="1"/>
  <c r="K66" i="2" s="1"/>
  <c r="K67" i="2" s="1"/>
  <c r="K68" i="2" s="1"/>
  <c r="K69" i="2" s="1"/>
  <c r="K70" i="2" s="1"/>
  <c r="K5" i="2"/>
  <c r="I30" i="1"/>
  <c r="K11" i="2" l="1"/>
  <c r="K12" i="2" s="1"/>
  <c r="K13" i="2" s="1"/>
  <c r="K14" i="2" s="1"/>
  <c r="K16" i="2" s="1"/>
  <c r="K6" i="2"/>
  <c r="K7" i="2" s="1"/>
  <c r="I11" i="1"/>
  <c r="I12" i="1" s="1"/>
  <c r="I13" i="1" s="1"/>
  <c r="I14" i="1" s="1"/>
  <c r="I15" i="1" s="1"/>
  <c r="I16" i="1" s="1"/>
  <c r="I17" i="1" s="1"/>
  <c r="I18" i="1" s="1"/>
  <c r="I20" i="1" s="1"/>
  <c r="I21" i="1" s="1"/>
  <c r="I22" i="1" s="1"/>
  <c r="K21" i="4" l="1"/>
  <c r="K22" i="4" s="1"/>
  <c r="K23" i="4" s="1"/>
  <c r="K12" i="4"/>
  <c r="K13" i="4" s="1"/>
  <c r="K14" i="4" s="1"/>
  <c r="K15" i="4" s="1"/>
  <c r="K16" i="4" s="1"/>
  <c r="I15" i="3"/>
  <c r="I16" i="3" s="1"/>
  <c r="I17" i="3" s="1"/>
  <c r="I7" i="3"/>
  <c r="I8" i="3" s="1"/>
  <c r="I9" i="3" s="1"/>
  <c r="I10" i="3" s="1"/>
  <c r="I11" i="3" s="1"/>
  <c r="K17" i="2"/>
  <c r="K18" i="2" s="1"/>
  <c r="K19" i="2" s="1"/>
  <c r="K20" i="2" s="1"/>
  <c r="K21" i="2" s="1"/>
  <c r="I25" i="1"/>
  <c r="I26" i="1" s="1"/>
  <c r="I27" i="1" s="1"/>
  <c r="I28" i="1" s="1"/>
  <c r="I29" i="1" s="1"/>
  <c r="I31" i="1" s="1"/>
  <c r="I32" i="1" s="1"/>
  <c r="I33" i="1" s="1"/>
  <c r="I34" i="1" s="1"/>
  <c r="I36" i="1" s="1"/>
  <c r="N11" i="4"/>
  <c r="N8" i="4"/>
  <c r="N7" i="4"/>
  <c r="N6" i="4"/>
  <c r="L20" i="3"/>
  <c r="L16" i="3"/>
  <c r="L17" i="3" s="1"/>
  <c r="L15" i="3"/>
  <c r="N25" i="2"/>
  <c r="N21" i="4" l="1"/>
  <c r="N22" i="4" s="1"/>
  <c r="N23" i="4" s="1"/>
  <c r="N12" i="4"/>
  <c r="N13" i="4" s="1"/>
  <c r="N14" i="4" s="1"/>
  <c r="N15" i="4" s="1"/>
  <c r="N16" i="4" s="1"/>
  <c r="N5" i="4"/>
  <c r="L7" i="3"/>
  <c r="L8" i="3" s="1"/>
  <c r="L9" i="3" s="1"/>
  <c r="L10" i="3" s="1"/>
  <c r="L11" i="3" s="1"/>
  <c r="L12" i="3" s="1"/>
  <c r="L13" i="3" s="1"/>
  <c r="L14" i="3" s="1"/>
  <c r="L6" i="3"/>
  <c r="L5" i="3"/>
  <c r="N26" i="2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N37" i="2" s="1"/>
  <c r="N38" i="2" s="1"/>
  <c r="N39" i="2" s="1"/>
  <c r="N40" i="2" s="1"/>
  <c r="N41" i="2" s="1"/>
  <c r="N42" i="2" s="1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2" i="2" s="1"/>
  <c r="N73" i="2" s="1"/>
  <c r="N74" i="2" s="1"/>
  <c r="N75" i="2" s="1"/>
  <c r="N76" i="2" s="1"/>
  <c r="N77" i="2" s="1"/>
</calcChain>
</file>

<file path=xl/sharedStrings.xml><?xml version="1.0" encoding="utf-8"?>
<sst xmlns="http://schemas.openxmlformats.org/spreadsheetml/2006/main" count="846" uniqueCount="350">
  <si>
    <t>DESCRIPCION</t>
  </si>
  <si>
    <t>N/A</t>
  </si>
  <si>
    <t>ENTRADA A 0</t>
  </si>
  <si>
    <t>ENTRADA A 1</t>
  </si>
  <si>
    <t>UNIDADES</t>
  </si>
  <si>
    <t>RANGO</t>
  </si>
  <si>
    <t>SALIDA A 0</t>
  </si>
  <si>
    <t>SALIDA A 1</t>
  </si>
  <si>
    <t>P</t>
  </si>
  <si>
    <t>TAG</t>
  </si>
  <si>
    <t>COMENTARIOS</t>
  </si>
  <si>
    <t>ESTADO</t>
  </si>
  <si>
    <t>ESCLAVO</t>
  </si>
  <si>
    <t>DIR</t>
  </si>
  <si>
    <t>ESCLAVO PLC</t>
  </si>
  <si>
    <t>ARRANQUE</t>
  </si>
  <si>
    <t>PARADA</t>
  </si>
  <si>
    <t>DESCARGA</t>
  </si>
  <si>
    <t>DISPARO EXTERNO</t>
  </si>
  <si>
    <t>ELEMENTOS AUXILIARES DISPONIBLES</t>
  </si>
  <si>
    <t>SYNC UP</t>
  </si>
  <si>
    <t>SYNC DOWN</t>
  </si>
  <si>
    <t>REGULADOR EN LOCAL</t>
  </si>
  <si>
    <t>INDICADOR DE DISTRIBUIDOR CERRADO</t>
  </si>
  <si>
    <t>INDICADOR DE DISTRIBUIDOR ABIERTO</t>
  </si>
  <si>
    <t>INDICADOR DE DISTRIBUIDOR EN POSICION DE VACIO</t>
  </si>
  <si>
    <t>TRIP</t>
  </si>
  <si>
    <t>S.AUX NO OPERATIVOS</t>
  </si>
  <si>
    <t>ABIERTO</t>
  </si>
  <si>
    <t>CONTROL REMOTO</t>
  </si>
  <si>
    <t>NORMAL</t>
  </si>
  <si>
    <t>S.AUX OPERATIVOS</t>
  </si>
  <si>
    <t>CERRADO</t>
  </si>
  <si>
    <t>SUBIR SP</t>
  </si>
  <si>
    <t>BAJAR SP</t>
  </si>
  <si>
    <t>CONTROL LOCAL</t>
  </si>
  <si>
    <t>SIN CARGA</t>
  </si>
  <si>
    <t>ORDEN ARRANQUE</t>
  </si>
  <si>
    <t>ORDEN PARADA</t>
  </si>
  <si>
    <t>ORDEN DESCARGA</t>
  </si>
  <si>
    <t>REV</t>
  </si>
  <si>
    <t>TIPO SEÑAL</t>
  </si>
  <si>
    <t>Hz</t>
  </si>
  <si>
    <t>4-20mA</t>
  </si>
  <si>
    <t>POTENCIA ACTIVA 1</t>
  </si>
  <si>
    <t>POTENCIA ACTIVA 2</t>
  </si>
  <si>
    <t>PARAM</t>
  </si>
  <si>
    <t>SYNC ERROR</t>
  </si>
  <si>
    <t xml:space="preserve">Solo funcional con sistema en parada o cuando se esta parando, para invertir la accion </t>
  </si>
  <si>
    <t>Modo regulacion de potencia</t>
  </si>
  <si>
    <t>En no operativos se activa estado de emergencia</t>
  </si>
  <si>
    <t>Limite de apertura para arranque y funcionamiento en vacio</t>
  </si>
  <si>
    <t>%</t>
  </si>
  <si>
    <t>frecN</t>
  </si>
  <si>
    <t>Rango de linearizacion de -10 a 120%</t>
  </si>
  <si>
    <t>Rango de linearizacion de velocidad 0 a 200%</t>
  </si>
  <si>
    <t>Error de frecuencia de la turbina con respecto a la red</t>
  </si>
  <si>
    <t>TURBINA</t>
  </si>
  <si>
    <t>F y K</t>
  </si>
  <si>
    <t>APERTURA INYECTOR 3</t>
  </si>
  <si>
    <t>APERTURA INYECTOR 4</t>
  </si>
  <si>
    <t>APERTURA INYECTOR 5</t>
  </si>
  <si>
    <t>APERTURA INYECTOR 6</t>
  </si>
  <si>
    <t>SALTO DE AGUA</t>
  </si>
  <si>
    <t>m</t>
  </si>
  <si>
    <t>CAUDAL</t>
  </si>
  <si>
    <t>m3/s</t>
  </si>
  <si>
    <t>MIN</t>
  </si>
  <si>
    <t>MAX</t>
  </si>
  <si>
    <t>2* frecN</t>
  </si>
  <si>
    <t>0</t>
  </si>
  <si>
    <t>-frecN</t>
  </si>
  <si>
    <t>100</t>
  </si>
  <si>
    <t>ERROR DE WATCHDOG</t>
  </si>
  <si>
    <t>VELOCIDAD DE SINCRONIZACION ALCANZADA</t>
  </si>
  <si>
    <t>ALARMA SOBREVELOCIDAD</t>
  </si>
  <si>
    <t>DISPARO DE EMERGENCIA</t>
  </si>
  <si>
    <t>DISPARO DE SOBREVELOCIDAD</t>
  </si>
  <si>
    <t>VELOCIDAD DE EXCITACIÓN ALCANZADA</t>
  </si>
  <si>
    <t>VELOCIDAD DE FRENADO ALCANZADA</t>
  </si>
  <si>
    <t>TURBINA PARADA</t>
  </si>
  <si>
    <t>ACTIVACION DEFLECTORES</t>
  </si>
  <si>
    <t>ALARMA FALLO MAYOR</t>
  </si>
  <si>
    <t>ALARMA FALLO MENOR</t>
  </si>
  <si>
    <t>EMERGENCIA</t>
  </si>
  <si>
    <t>FALLO</t>
  </si>
  <si>
    <t>NO</t>
  </si>
  <si>
    <t>SI</t>
  </si>
  <si>
    <t>RESERVA</t>
  </si>
  <si>
    <t>-10 a 10V</t>
  </si>
  <si>
    <t>REG SERVO INYECTOR 3</t>
  </si>
  <si>
    <t>REG SERVO INYECTOR 4</t>
  </si>
  <si>
    <t>REG SERVO INYECTOR 5</t>
  </si>
  <si>
    <t>REG SERVO INYECTOR 6</t>
  </si>
  <si>
    <t>Accion de sincronizador para subir SP (PWM)</t>
  </si>
  <si>
    <t>Accion de sincronizador para bajar SP (PWM)</t>
  </si>
  <si>
    <t>SET POINT DE POTENCIA</t>
  </si>
  <si>
    <t>REG SERVO DISTRIBUIDOR O INYECTOR 1</t>
  </si>
  <si>
    <t>REG SERVO ALABES O  INYECTOR 2</t>
  </si>
  <si>
    <t>F y K y P</t>
  </si>
  <si>
    <t>Velocidad de apertura o cierre a aplicar en distribuidor o en el inyector 1</t>
  </si>
  <si>
    <t>K y P</t>
  </si>
  <si>
    <t>POSICIÓN DISTRIBUIDOR O APERTURA INYECTOR 1</t>
  </si>
  <si>
    <t>POSICIÓN ÁLABES O APERTURA INYECTOR 2</t>
  </si>
  <si>
    <t>CONTROL AUTOMATICO</t>
  </si>
  <si>
    <t>CONTROL MANT.</t>
  </si>
  <si>
    <t>REGULADOR EN AUTOMATICO</t>
  </si>
  <si>
    <t>Control manual para mantenimiento o regulacion</t>
  </si>
  <si>
    <t>REPOSICION DE ALARMAS</t>
  </si>
  <si>
    <t>HMS_REG_STR</t>
  </si>
  <si>
    <t>HMS_REG_STP</t>
  </si>
  <si>
    <t>HMS_REG_UNL</t>
  </si>
  <si>
    <t>HMS_REG_TRIP</t>
  </si>
  <si>
    <t>INTERRUPTOR LINEA CERRADO</t>
  </si>
  <si>
    <t>Y_AUX_OK</t>
  </si>
  <si>
    <t>INTERRUPTOR GENERADOR CERRADO</t>
  </si>
  <si>
    <t>NO CERRADO</t>
  </si>
  <si>
    <t>Y_SYNC_UP</t>
  </si>
  <si>
    <t>Y_SYNC_DOWN</t>
  </si>
  <si>
    <t>HS_REG_LOC</t>
  </si>
  <si>
    <t>HS_REG_AUTO</t>
  </si>
  <si>
    <t>ZSC_WGT</t>
  </si>
  <si>
    <t>ZSO_WGT</t>
  </si>
  <si>
    <t>ZSM_WGT</t>
  </si>
  <si>
    <t>SE_TUR_PICK2</t>
  </si>
  <si>
    <t>SE_TUR_PICK1</t>
  </si>
  <si>
    <t>ZSC_GEN_LB</t>
  </si>
  <si>
    <t>ZSC_GEN_GB</t>
  </si>
  <si>
    <t>FRECUENCIA 1 TURBINA</t>
  </si>
  <si>
    <t>FRECUENCIA 2 TURBINA</t>
  </si>
  <si>
    <t>SE_TUR_F1</t>
  </si>
  <si>
    <t>SE_TUR_F2</t>
  </si>
  <si>
    <t>JE_GEN_P1</t>
  </si>
  <si>
    <t>JE_GEN_P2</t>
  </si>
  <si>
    <t>LE_TUR</t>
  </si>
  <si>
    <t>SD_SYNC_ERR</t>
  </si>
  <si>
    <t>FE_TUR</t>
  </si>
  <si>
    <t>Z_PAD_INY2</t>
  </si>
  <si>
    <t>Z_INY3</t>
  </si>
  <si>
    <t>Z_INY4</t>
  </si>
  <si>
    <t>Z_INY5</t>
  </si>
  <si>
    <t>Z_INY6</t>
  </si>
  <si>
    <t>Z_WGT_INY1</t>
  </si>
  <si>
    <t>ZC_WGT_INY1</t>
  </si>
  <si>
    <t>ZC_PAD_INY2</t>
  </si>
  <si>
    <t>ZC_INY3</t>
  </si>
  <si>
    <t>ZC_INY4</t>
  </si>
  <si>
    <t>ZC_INY5</t>
  </si>
  <si>
    <t>ZC_INY6</t>
  </si>
  <si>
    <t>YA_REG_TRIP</t>
  </si>
  <si>
    <t>YA_REG_WDOG</t>
  </si>
  <si>
    <t>SIS_TUR_SYNC</t>
  </si>
  <si>
    <t>SIS_TUR_EXC</t>
  </si>
  <si>
    <t>SIS_TUR_BRK</t>
  </si>
  <si>
    <t>SIS_TUR_N0</t>
  </si>
  <si>
    <t>ZC_DFL</t>
  </si>
  <si>
    <t>YA_REG_MA</t>
  </si>
  <si>
    <t>YA_REG_ME</t>
  </si>
  <si>
    <t>SAH_TUR_OVS</t>
  </si>
  <si>
    <t>SAHH_TUR_OVS</t>
  </si>
  <si>
    <t>DIRECCION FISICA</t>
  </si>
  <si>
    <t>CANAL</t>
  </si>
  <si>
    <t>DIRECCION REMOTA</t>
  </si>
  <si>
    <t>FISICAS GENERALES</t>
  </si>
  <si>
    <t>FISICAS ESPECIFICAS DE TURBINA</t>
  </si>
  <si>
    <t>PULSOS PICKUP 1 TURBINA</t>
  </si>
  <si>
    <t>PULSOS PICKUP 2 TURBINA</t>
  </si>
  <si>
    <t>u</t>
  </si>
  <si>
    <t>HMSM_REG_STR</t>
  </si>
  <si>
    <t>HMSM_REG_STP</t>
  </si>
  <si>
    <t>HMSM_REG_UNL</t>
  </si>
  <si>
    <t>HMSM_REG_TRIP</t>
  </si>
  <si>
    <t>HMS_REG_ALREP</t>
  </si>
  <si>
    <t>LIMPIEZA ALARMAS</t>
  </si>
  <si>
    <t>HMSM_REG_ALREP</t>
  </si>
  <si>
    <t>HSM_REG_AUTO</t>
  </si>
  <si>
    <t>CAMBIO REG.POTENCIA</t>
  </si>
  <si>
    <t>CAMBIO REG.APERTURA</t>
  </si>
  <si>
    <t>HMSM_REG_SYNCUP</t>
  </si>
  <si>
    <t>HMSM_REG_SYNCDW</t>
  </si>
  <si>
    <t>PULSO DE SUBIDA DE SP</t>
  </si>
  <si>
    <t>PULSO DE BAJADA SP</t>
  </si>
  <si>
    <t>Subida de SP para sincronizacion manual</t>
  </si>
  <si>
    <t>Bajada de SP para sincronizacion manual</t>
  </si>
  <si>
    <t>SUBIDA SP</t>
  </si>
  <si>
    <t>BAJADA SP</t>
  </si>
  <si>
    <t>DESACTIVADOS</t>
  </si>
  <si>
    <t>ACTIVADOS</t>
  </si>
  <si>
    <t>HSM_REG_DFL</t>
  </si>
  <si>
    <t>REMOTAS/INTERNAS GENERALES</t>
  </si>
  <si>
    <t>REMOTAS/INTERNAS ESPECIFICAS DE TURBINA</t>
  </si>
  <si>
    <t>PMIN</t>
  </si>
  <si>
    <t>ZRC_REG_WGT_INY1</t>
  </si>
  <si>
    <t>ZRC_REG_PAD_INY2</t>
  </si>
  <si>
    <t>ZRC_REG_INY3</t>
  </si>
  <si>
    <t>ZRC_REG_INY4</t>
  </si>
  <si>
    <t>ZRC_REG_INY5</t>
  </si>
  <si>
    <t>ZRC_REG_INY6</t>
  </si>
  <si>
    <t>C_REG_PID1_KP</t>
  </si>
  <si>
    <t>C_REG_PID1_ST</t>
  </si>
  <si>
    <t>C_REG_PID1_DB</t>
  </si>
  <si>
    <t>C_REG_PID1_KD</t>
  </si>
  <si>
    <t>C_REG_PID1_KI</t>
  </si>
  <si>
    <t>KP DE PID1</t>
  </si>
  <si>
    <t>KI DE PID1</t>
  </si>
  <si>
    <t>KD DE PID1</t>
  </si>
  <si>
    <t>ST DE PID1</t>
  </si>
  <si>
    <t>DB DE PID1</t>
  </si>
  <si>
    <t>ms</t>
  </si>
  <si>
    <t>20</t>
  </si>
  <si>
    <t>15</t>
  </si>
  <si>
    <t>2000</t>
  </si>
  <si>
    <t>C_REG_PID2_KP</t>
  </si>
  <si>
    <t>C_REG_PID2_KI</t>
  </si>
  <si>
    <t>C_REG_PID2_KD</t>
  </si>
  <si>
    <t>C_REG_PID2_ST</t>
  </si>
  <si>
    <t>C_REG_PID2_DB</t>
  </si>
  <si>
    <t>DB DE PID2</t>
  </si>
  <si>
    <t>ST DE PID2</t>
  </si>
  <si>
    <t>KD DE PID2</t>
  </si>
  <si>
    <t>KI DE PID2</t>
  </si>
  <si>
    <t>KP DE PID2</t>
  </si>
  <si>
    <t>C_REG_PID3_KP</t>
  </si>
  <si>
    <t>C_REG_PID3_KI</t>
  </si>
  <si>
    <t>C_REG_PID3_KD</t>
  </si>
  <si>
    <t>C_REG_PID3_ST</t>
  </si>
  <si>
    <t>C_REG_PID3_DB</t>
  </si>
  <si>
    <t>DB DE PID3</t>
  </si>
  <si>
    <t>ST DE PID3</t>
  </si>
  <si>
    <t>KD DE PID3</t>
  </si>
  <si>
    <t>KI DE PID3</t>
  </si>
  <si>
    <t>KP DE PID3</t>
  </si>
  <si>
    <t>C_REG_PID4_KP</t>
  </si>
  <si>
    <t>C_REG_PID4_KI</t>
  </si>
  <si>
    <t>C_REG_PID4_KD</t>
  </si>
  <si>
    <t>C_REG_PID4_ST</t>
  </si>
  <si>
    <t>C_REG_PID4_DB</t>
  </si>
  <si>
    <t>DB DE PID4</t>
  </si>
  <si>
    <t>ST DE PID4</t>
  </si>
  <si>
    <t>KD DE PID4</t>
  </si>
  <si>
    <t>KI DE PID4</t>
  </si>
  <si>
    <t>KP DE PID4</t>
  </si>
  <si>
    <t>C_REG_PID5_KP</t>
  </si>
  <si>
    <t>C_REG_PID5_KI</t>
  </si>
  <si>
    <t>C_REG_PID5_KD</t>
  </si>
  <si>
    <t>C_REG_PID5_ST</t>
  </si>
  <si>
    <t>C_REG_PID5_DB</t>
  </si>
  <si>
    <t>C_REG_PID6_KP</t>
  </si>
  <si>
    <t>C_REG_PID6_KI</t>
  </si>
  <si>
    <t>C_REG_PID6_KD</t>
  </si>
  <si>
    <t>C_REG_PID6_ST</t>
  </si>
  <si>
    <t>C_REG_PID6_DB</t>
  </si>
  <si>
    <t>C_REG_PID7_KP</t>
  </si>
  <si>
    <t>C_REG_PID7_KI</t>
  </si>
  <si>
    <t>C_REG_PID7_KD</t>
  </si>
  <si>
    <t>C_REG_PID7_ST</t>
  </si>
  <si>
    <t>C_REG_PID7_DB</t>
  </si>
  <si>
    <t>C_REG_PID8_KP</t>
  </si>
  <si>
    <t>C_REG_PID8_KI</t>
  </si>
  <si>
    <t>C_REG_PID8_KD</t>
  </si>
  <si>
    <t>C_REG_PID8_ST</t>
  </si>
  <si>
    <t>C_REG_PID8_DB</t>
  </si>
  <si>
    <t>C_REG_PID9_KP</t>
  </si>
  <si>
    <t>C_REG_PID9_KI</t>
  </si>
  <si>
    <t>C_REG_PID9_KD</t>
  </si>
  <si>
    <t>C_REG_PID9_ST</t>
  </si>
  <si>
    <t>C_REG_PID9_DB</t>
  </si>
  <si>
    <t>KP DE PID5</t>
  </si>
  <si>
    <t>KI DE PID5</t>
  </si>
  <si>
    <t>KD DE PID5</t>
  </si>
  <si>
    <t>ST DE PID5</t>
  </si>
  <si>
    <t>DB DE PID5</t>
  </si>
  <si>
    <t>KP DE PID6</t>
  </si>
  <si>
    <t>KI DE PID6</t>
  </si>
  <si>
    <t>KD DE PID6</t>
  </si>
  <si>
    <t>ST DE PID6</t>
  </si>
  <si>
    <t>DB DE PID6</t>
  </si>
  <si>
    <t>KP DE PID7</t>
  </si>
  <si>
    <t>KI DE PID7</t>
  </si>
  <si>
    <t>KD DE PID7</t>
  </si>
  <si>
    <t>ST DE PID7</t>
  </si>
  <si>
    <t>DB DE PID7</t>
  </si>
  <si>
    <t>KP DE PID8</t>
  </si>
  <si>
    <t>KI DE PID8</t>
  </si>
  <si>
    <t>KD DE PID8</t>
  </si>
  <si>
    <t>ST DE PID8</t>
  </si>
  <si>
    <t>DB DE PID8</t>
  </si>
  <si>
    <t>KP DE PID9</t>
  </si>
  <si>
    <t>KI DE PID9</t>
  </si>
  <si>
    <t>KD DE PID9</t>
  </si>
  <si>
    <t>ST DE PID9</t>
  </si>
  <si>
    <t>DB DE PID9</t>
  </si>
  <si>
    <t>CONTROL AUTO</t>
  </si>
  <si>
    <t>Y_REG_AUTO</t>
  </si>
  <si>
    <t>REG SERVO DISTRIBUIDOR O INYECTOR 1 MANUAL</t>
  </si>
  <si>
    <t>REG SERVO ALABES O  INYECTOR 2 MANUAL</t>
  </si>
  <si>
    <t>REG SERVO INYECTOR 3 MANUAL</t>
  </si>
  <si>
    <t>REG SERVO INYECTOR 4 MANUAL</t>
  </si>
  <si>
    <t>REG SERVO INYECTOR 5 MANUAL</t>
  </si>
  <si>
    <t>REG SERVO INYECTOR 6 MANUAL</t>
  </si>
  <si>
    <t>Y_REG_STATE</t>
  </si>
  <si>
    <t>ESTADO ACTUAL REGULADOR</t>
  </si>
  <si>
    <t>0 Parado, 1 Arrancando, 2 Parando, 3 Descargando, 4 Reg.Vacio, 5 Reg.Isla, 6 Reg.Potencia, 7 Reg. Apertura</t>
  </si>
  <si>
    <t>ACTIVACION DEFLECTORES EN MANUAL</t>
  </si>
  <si>
    <t>SE_REG_F1</t>
  </si>
  <si>
    <t>SE_REG_F2</t>
  </si>
  <si>
    <t>MEDIDA DE FRECUENCIA 1</t>
  </si>
  <si>
    <t>MEDIDA DE FRECUENCIA 2</t>
  </si>
  <si>
    <t>MEDIDA DE FRECUENCIA 3</t>
  </si>
  <si>
    <t>SE_PICK1_RST</t>
  </si>
  <si>
    <t>VALOR DE REINICIO DE PICKUP1</t>
  </si>
  <si>
    <t>SE_PICK2_RST</t>
  </si>
  <si>
    <t>VALOR DE REINICIO DE PICKUP2</t>
  </si>
  <si>
    <t xml:space="preserve">u </t>
  </si>
  <si>
    <t>Salida para reiniciar el contador de pulsos a 0</t>
  </si>
  <si>
    <t>SE_REG_F3</t>
  </si>
  <si>
    <t>ID EN REG</t>
  </si>
  <si>
    <t>CONFIRMACION DE CONSIGNA</t>
  </si>
  <si>
    <t>CONSIGNA CONFIRMADA</t>
  </si>
  <si>
    <t>Variable para ordenar la escritura de las entradas de SP en los registros internos</t>
  </si>
  <si>
    <t>Z_REG_PWSP</t>
  </si>
  <si>
    <t>ZR_REG_PWSP</t>
  </si>
  <si>
    <t>Z_REG_OPSP</t>
  </si>
  <si>
    <t>SET POINT DE APERTURA</t>
  </si>
  <si>
    <t>ZR_REG_OPSP</t>
  </si>
  <si>
    <t>ZC_REG_PWSP</t>
  </si>
  <si>
    <t>ZC_REG_OPSP</t>
  </si>
  <si>
    <t>ZC_REG_SSP</t>
  </si>
  <si>
    <t>VALOR DE CONSIGNA DE POTENCIA</t>
  </si>
  <si>
    <t>VALOR DE CONSIGNA DE APERTURA</t>
  </si>
  <si>
    <t>VALOR DE CONSIGNA DE FRECUENCIA</t>
  </si>
  <si>
    <t>CAMBIO A REGULACION DE POTENCIA</t>
  </si>
  <si>
    <t>CAMBIO A REGULACION DE APERTURA</t>
  </si>
  <si>
    <t>HMS_REG_SPOK</t>
  </si>
  <si>
    <t>HMSM_REG_SPOK</t>
  </si>
  <si>
    <t>HMS_REG_PWREG</t>
  </si>
  <si>
    <t>HMS_REG_OPREG</t>
  </si>
  <si>
    <t>HMSM_REG_PWREG</t>
  </si>
  <si>
    <t>HMSM_REG_OPREG</t>
  </si>
  <si>
    <t>Y_REG_PWREG</t>
  </si>
  <si>
    <t>Y_REG_OPREG</t>
  </si>
  <si>
    <t>REGULACION EN POTENCIA</t>
  </si>
  <si>
    <t>REGULACION EN APERTURA</t>
  </si>
  <si>
    <t>Y_REG_LOC</t>
  </si>
  <si>
    <t>C_REG_OPLIMIT</t>
  </si>
  <si>
    <t>LIMITE DE APERTURA</t>
  </si>
  <si>
    <t>-</t>
  </si>
  <si>
    <t>USO EN HMI</t>
  </si>
  <si>
    <t>RW</t>
  </si>
  <si>
    <t>WO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</si>
</sst>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rgb="FFF7905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62">
    <xf numFmtId="0" fontId="0" fillId="0" borderId="0" xfId="0"/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1" fillId="0" borderId="0" xfId="0" applyFont="1"/>
    <xf numFmtId="0" fontId="2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left" vertical="center"/>
    </xf>
    <xf numFmtId="0" fontId="3" fillId="2" borderId="1" xfId="0" applyFont="1" applyFill="1" applyBorder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49" fontId="0" fillId="0" borderId="0" xfId="0" applyNumberFormat="1"/>
    <xf numFmtId="0" fontId="3" fillId="2" borderId="3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0" fillId="4" borderId="0" xfId="0" applyFill="1"/>
    <xf numFmtId="0" fontId="0" fillId="0" borderId="0" xfId="0" applyBorder="1"/>
    <xf numFmtId="0" fontId="0" fillId="0" borderId="0" xfId="0" applyAlignment="1">
      <alignment horizontal="left"/>
    </xf>
    <xf numFmtId="0" fontId="0" fillId="4" borderId="6" xfId="0" applyFill="1" applyBorder="1"/>
    <xf numFmtId="0" fontId="0" fillId="4" borderId="4" xfId="0" applyFill="1" applyBorder="1"/>
    <xf numFmtId="0" fontId="1" fillId="5" borderId="0" xfId="0" applyFont="1" applyFill="1" applyAlignment="1">
      <alignment horizontal="left" vertical="center"/>
    </xf>
    <xf numFmtId="0" fontId="1" fillId="5" borderId="0" xfId="0" applyFont="1" applyFill="1" applyAlignment="1">
      <alignment vertical="center"/>
    </xf>
    <xf numFmtId="0" fontId="2" fillId="5" borderId="0" xfId="0" applyFont="1" applyFill="1" applyAlignment="1">
      <alignment vertical="center" wrapText="1"/>
    </xf>
    <xf numFmtId="0" fontId="1" fillId="5" borderId="0" xfId="0" applyFont="1" applyFill="1"/>
    <xf numFmtId="0" fontId="0" fillId="5" borderId="0" xfId="0" applyFill="1" applyAlignment="1">
      <alignment vertical="center"/>
    </xf>
    <xf numFmtId="0" fontId="0" fillId="5" borderId="0" xfId="0" applyFill="1"/>
    <xf numFmtId="0" fontId="1" fillId="6" borderId="0" xfId="0" applyFont="1" applyFill="1" applyBorder="1" applyAlignment="1">
      <alignment horizontal="left" vertical="center"/>
    </xf>
    <xf numFmtId="0" fontId="1" fillId="6" borderId="0" xfId="0" applyFont="1" applyFill="1" applyBorder="1" applyAlignment="1">
      <alignment vertical="center"/>
    </xf>
    <xf numFmtId="0" fontId="2" fillId="6" borderId="0" xfId="0" applyFont="1" applyFill="1" applyBorder="1" applyAlignment="1">
      <alignment vertical="center"/>
    </xf>
    <xf numFmtId="0" fontId="2" fillId="6" borderId="0" xfId="0" applyFont="1" applyFill="1" applyAlignment="1">
      <alignment vertical="center" wrapText="1"/>
    </xf>
    <xf numFmtId="0" fontId="0" fillId="6" borderId="0" xfId="0" applyFill="1"/>
    <xf numFmtId="0" fontId="0" fillId="6" borderId="0" xfId="0" applyFill="1" applyAlignment="1">
      <alignment horizontal="left" vertical="center"/>
    </xf>
    <xf numFmtId="0" fontId="2" fillId="6" borderId="0" xfId="0" applyFont="1" applyFill="1" applyAlignment="1">
      <alignment vertical="center"/>
    </xf>
    <xf numFmtId="0" fontId="1" fillId="6" borderId="0" xfId="0" applyFont="1" applyFill="1" applyAlignment="1">
      <alignment horizontal="left" vertical="center"/>
    </xf>
    <xf numFmtId="0" fontId="1" fillId="6" borderId="0" xfId="0" applyFont="1" applyFill="1" applyAlignment="1">
      <alignment vertical="center"/>
    </xf>
    <xf numFmtId="0" fontId="1" fillId="6" borderId="0" xfId="0" applyFont="1" applyFill="1"/>
    <xf numFmtId="0" fontId="0" fillId="5" borderId="0" xfId="0" applyFill="1" applyAlignment="1">
      <alignment horizontal="left" vertical="center"/>
    </xf>
    <xf numFmtId="49" fontId="0" fillId="5" borderId="0" xfId="0" applyNumberFormat="1" applyFill="1" applyAlignment="1">
      <alignment horizontal="left" vertical="center"/>
    </xf>
    <xf numFmtId="0" fontId="4" fillId="5" borderId="0" xfId="0" applyFont="1" applyFill="1" applyAlignment="1">
      <alignment vertical="center"/>
    </xf>
    <xf numFmtId="49" fontId="0" fillId="6" borderId="0" xfId="0" applyNumberFormat="1" applyFill="1" applyAlignment="1">
      <alignment horizontal="left" vertical="center"/>
    </xf>
    <xf numFmtId="0" fontId="6" fillId="6" borderId="0" xfId="0" applyFont="1" applyFill="1" applyAlignment="1">
      <alignment horizontal="left" vertical="center"/>
    </xf>
    <xf numFmtId="49" fontId="6" fillId="6" borderId="0" xfId="0" applyNumberFormat="1" applyFont="1" applyFill="1" applyAlignment="1">
      <alignment horizontal="left" vertical="center"/>
    </xf>
    <xf numFmtId="0" fontId="6" fillId="6" borderId="0" xfId="0" applyFont="1" applyFill="1"/>
    <xf numFmtId="0" fontId="2" fillId="5" borderId="0" xfId="0" applyFont="1" applyFill="1" applyAlignment="1">
      <alignment vertical="center"/>
    </xf>
    <xf numFmtId="0" fontId="0" fillId="5" borderId="0" xfId="0" applyFill="1" applyAlignment="1">
      <alignment horizontal="left"/>
    </xf>
    <xf numFmtId="49" fontId="0" fillId="5" borderId="0" xfId="0" applyNumberFormat="1" applyFill="1"/>
    <xf numFmtId="0" fontId="0" fillId="5" borderId="0" xfId="0" applyFill="1" applyAlignment="1">
      <alignment horizontal="right"/>
    </xf>
    <xf numFmtId="0" fontId="0" fillId="0" borderId="0" xfId="0" applyAlignment="1">
      <alignment horizontal="right"/>
    </xf>
    <xf numFmtId="0" fontId="0" fillId="5" borderId="0" xfId="0" applyFill="1" applyAlignment="1">
      <alignment horizontal="right" vertical="center"/>
    </xf>
    <xf numFmtId="0" fontId="0" fillId="6" borderId="0" xfId="0" applyFill="1" applyAlignment="1">
      <alignment horizontal="right" vertical="center"/>
    </xf>
    <xf numFmtId="0" fontId="6" fillId="6" borderId="0" xfId="0" applyFont="1" applyFill="1" applyAlignment="1">
      <alignment horizontal="right" vertical="center"/>
    </xf>
    <xf numFmtId="0" fontId="0" fillId="0" borderId="0" xfId="0" applyAlignment="1">
      <alignment horizontal="right" vertical="center"/>
    </xf>
    <xf numFmtId="0" fontId="3" fillId="6" borderId="8" xfId="0" applyFont="1" applyFill="1" applyBorder="1" applyAlignment="1">
      <alignment horizontal="center" vertical="center"/>
    </xf>
    <xf numFmtId="0" fontId="3" fillId="6" borderId="0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7905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 defines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784860</xdr:colOff>
          <xdr:row>8</xdr:row>
          <xdr:rowOff>0</xdr:rowOff>
        </xdr:from>
        <xdr:to>
          <xdr:col>5</xdr:col>
          <xdr:colOff>7620</xdr:colOff>
          <xdr:row>10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 DB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AD475-1CFD-45A6-965C-FABA80A16634}">
  <sheetPr codeName="Hoja1"/>
  <dimension ref="A1:M42"/>
  <sheetViews>
    <sheetView topLeftCell="A19" workbookViewId="0">
      <selection activeCell="L37" sqref="L37"/>
    </sheetView>
  </sheetViews>
  <sheetFormatPr baseColWidth="10" defaultRowHeight="14.4" x14ac:dyDescent="0.3"/>
  <cols>
    <col min="1" max="1" width="4.44140625" customWidth="1"/>
    <col min="2" max="2" width="19.109375" customWidth="1"/>
    <col min="3" max="3" width="41.5546875" customWidth="1"/>
    <col min="4" max="4" width="20.109375" customWidth="1"/>
    <col min="5" max="5" width="21.88671875" customWidth="1"/>
    <col min="6" max="6" width="10.21875" customWidth="1"/>
    <col min="7" max="7" width="9.21875" customWidth="1"/>
    <col min="8" max="8" width="11.21875" customWidth="1"/>
    <col min="9" max="9" width="10.6640625" customWidth="1"/>
    <col min="10" max="10" width="93.88671875" customWidth="1"/>
  </cols>
  <sheetData>
    <row r="1" spans="1:13" x14ac:dyDescent="0.3">
      <c r="A1" s="55" t="s">
        <v>40</v>
      </c>
      <c r="B1" s="55" t="s">
        <v>9</v>
      </c>
      <c r="C1" s="55" t="s">
        <v>0</v>
      </c>
      <c r="D1" s="57" t="s">
        <v>11</v>
      </c>
      <c r="E1" s="58"/>
      <c r="F1" s="57" t="s">
        <v>160</v>
      </c>
      <c r="G1" s="58"/>
      <c r="H1" s="53" t="s">
        <v>162</v>
      </c>
      <c r="I1" s="54"/>
      <c r="J1" s="55" t="s">
        <v>10</v>
      </c>
      <c r="K1" s="55" t="s">
        <v>57</v>
      </c>
      <c r="L1" s="55" t="s">
        <v>316</v>
      </c>
      <c r="M1" s="59" t="s">
        <v>347</v>
      </c>
    </row>
    <row r="2" spans="1:13" x14ac:dyDescent="0.3">
      <c r="A2" s="56"/>
      <c r="B2" s="56"/>
      <c r="C2" s="56"/>
      <c r="D2" s="9" t="s">
        <v>2</v>
      </c>
      <c r="E2" s="9" t="s">
        <v>3</v>
      </c>
      <c r="F2" s="9" t="s">
        <v>12</v>
      </c>
      <c r="G2" s="9" t="s">
        <v>161</v>
      </c>
      <c r="H2" s="12" t="s">
        <v>12</v>
      </c>
      <c r="I2" s="12" t="s">
        <v>161</v>
      </c>
      <c r="J2" s="56"/>
      <c r="K2" s="56"/>
      <c r="L2" s="56"/>
      <c r="M2" s="59"/>
    </row>
    <row r="3" spans="1:13" x14ac:dyDescent="0.3">
      <c r="A3" s="60" t="s">
        <v>163</v>
      </c>
      <c r="B3" s="61"/>
      <c r="C3" s="61"/>
      <c r="D3" s="61"/>
      <c r="E3" s="61"/>
      <c r="F3" s="61"/>
      <c r="G3" s="61"/>
      <c r="H3" s="61"/>
      <c r="I3" s="61"/>
      <c r="J3" s="61"/>
      <c r="K3" s="61"/>
      <c r="L3" s="61"/>
      <c r="M3" s="61"/>
    </row>
    <row r="4" spans="1:13" ht="14.4" customHeight="1" x14ac:dyDescent="0.3">
      <c r="A4" s="8">
        <v>0</v>
      </c>
      <c r="B4" s="7" t="s">
        <v>109</v>
      </c>
      <c r="C4" s="5" t="s">
        <v>37</v>
      </c>
      <c r="D4" s="5" t="s">
        <v>1</v>
      </c>
      <c r="E4" s="5" t="s">
        <v>15</v>
      </c>
      <c r="F4" s="4"/>
      <c r="G4" s="4"/>
      <c r="H4" s="4">
        <v>0</v>
      </c>
      <c r="I4" s="4">
        <v>21</v>
      </c>
      <c r="J4" s="5" t="s">
        <v>48</v>
      </c>
      <c r="L4">
        <v>0</v>
      </c>
      <c r="M4" s="46" t="s">
        <v>348</v>
      </c>
    </row>
    <row r="5" spans="1:13" ht="14.4" customHeight="1" x14ac:dyDescent="0.3">
      <c r="A5" s="8">
        <v>0</v>
      </c>
      <c r="B5" s="7" t="s">
        <v>110</v>
      </c>
      <c r="C5" s="5" t="s">
        <v>38</v>
      </c>
      <c r="D5" s="5" t="s">
        <v>1</v>
      </c>
      <c r="E5" s="5" t="s">
        <v>16</v>
      </c>
      <c r="F5" s="4"/>
      <c r="G5" s="4"/>
      <c r="H5" s="4">
        <v>0</v>
      </c>
      <c r="I5" s="4">
        <v>22</v>
      </c>
      <c r="J5" s="3"/>
      <c r="L5">
        <v>1</v>
      </c>
      <c r="M5" s="46" t="s">
        <v>348</v>
      </c>
    </row>
    <row r="6" spans="1:13" ht="14.4" customHeight="1" x14ac:dyDescent="0.3">
      <c r="A6" s="8">
        <v>0</v>
      </c>
      <c r="B6" s="7" t="s">
        <v>111</v>
      </c>
      <c r="C6" s="5" t="s">
        <v>39</v>
      </c>
      <c r="D6" s="5" t="s">
        <v>1</v>
      </c>
      <c r="E6" s="5" t="s">
        <v>17</v>
      </c>
      <c r="F6" s="4"/>
      <c r="G6" s="4"/>
      <c r="H6" s="4">
        <v>0</v>
      </c>
      <c r="I6" s="4">
        <v>23</v>
      </c>
      <c r="J6" s="6" t="s">
        <v>49</v>
      </c>
      <c r="L6">
        <v>2</v>
      </c>
      <c r="M6" s="46" t="s">
        <v>348</v>
      </c>
    </row>
    <row r="7" spans="1:13" ht="14.4" customHeight="1" x14ac:dyDescent="0.3">
      <c r="A7" s="8">
        <v>0</v>
      </c>
      <c r="B7" s="7" t="s">
        <v>112</v>
      </c>
      <c r="C7" s="5" t="s">
        <v>18</v>
      </c>
      <c r="D7" s="5" t="s">
        <v>26</v>
      </c>
      <c r="E7" s="5" t="s">
        <v>30</v>
      </c>
      <c r="F7" s="4"/>
      <c r="G7" s="4"/>
      <c r="H7" s="4">
        <v>0</v>
      </c>
      <c r="I7" s="4">
        <v>24</v>
      </c>
      <c r="J7" s="3"/>
      <c r="L7">
        <v>3</v>
      </c>
      <c r="M7" s="46" t="s">
        <v>348</v>
      </c>
    </row>
    <row r="8" spans="1:13" ht="14.4" customHeight="1" x14ac:dyDescent="0.3">
      <c r="A8" s="8">
        <v>0</v>
      </c>
      <c r="B8" s="7" t="s">
        <v>114</v>
      </c>
      <c r="C8" s="5" t="s">
        <v>19</v>
      </c>
      <c r="D8" s="5" t="s">
        <v>27</v>
      </c>
      <c r="E8" s="5" t="s">
        <v>31</v>
      </c>
      <c r="F8" s="4"/>
      <c r="G8" s="4"/>
      <c r="H8" s="4">
        <v>0</v>
      </c>
      <c r="I8" s="4">
        <v>25</v>
      </c>
      <c r="J8" s="5" t="s">
        <v>50</v>
      </c>
      <c r="L8">
        <v>4</v>
      </c>
      <c r="M8" s="46" t="s">
        <v>348</v>
      </c>
    </row>
    <row r="9" spans="1:13" s="24" customFormat="1" ht="14.4" customHeight="1" x14ac:dyDescent="0.3">
      <c r="A9" s="19">
        <v>0</v>
      </c>
      <c r="B9" s="20" t="s">
        <v>126</v>
      </c>
      <c r="C9" s="21" t="s">
        <v>113</v>
      </c>
      <c r="D9" s="21" t="s">
        <v>116</v>
      </c>
      <c r="E9" s="21" t="s">
        <v>32</v>
      </c>
      <c r="F9" s="22"/>
      <c r="G9" s="22"/>
      <c r="H9" s="22">
        <v>0</v>
      </c>
      <c r="I9" s="22">
        <v>26</v>
      </c>
      <c r="J9" s="23"/>
      <c r="L9" s="24">
        <v>5</v>
      </c>
      <c r="M9" s="45" t="s">
        <v>348</v>
      </c>
    </row>
    <row r="10" spans="1:13" s="24" customFormat="1" ht="14.4" customHeight="1" x14ac:dyDescent="0.3">
      <c r="A10" s="19">
        <v>0</v>
      </c>
      <c r="B10" s="20" t="s">
        <v>127</v>
      </c>
      <c r="C10" s="21" t="s">
        <v>115</v>
      </c>
      <c r="D10" s="21" t="s">
        <v>116</v>
      </c>
      <c r="E10" s="21" t="s">
        <v>32</v>
      </c>
      <c r="F10" s="22"/>
      <c r="G10" s="22"/>
      <c r="H10" s="22">
        <v>0</v>
      </c>
      <c r="I10" s="22">
        <v>27</v>
      </c>
      <c r="J10" s="23"/>
      <c r="L10" s="24">
        <v>6</v>
      </c>
      <c r="M10" s="45" t="s">
        <v>348</v>
      </c>
    </row>
    <row r="11" spans="1:13" ht="14.4" customHeight="1" x14ac:dyDescent="0.3">
      <c r="A11" s="8">
        <v>0</v>
      </c>
      <c r="B11" s="7" t="s">
        <v>117</v>
      </c>
      <c r="C11" s="5" t="s">
        <v>20</v>
      </c>
      <c r="D11" s="5" t="s">
        <v>1</v>
      </c>
      <c r="E11" s="5" t="s">
        <v>33</v>
      </c>
      <c r="F11" s="4"/>
      <c r="G11" s="4"/>
      <c r="H11" s="4">
        <v>0</v>
      </c>
      <c r="I11" s="4">
        <f>I10+1</f>
        <v>28</v>
      </c>
      <c r="J11" s="5" t="s">
        <v>94</v>
      </c>
      <c r="L11">
        <v>7</v>
      </c>
      <c r="M11" s="46" t="s">
        <v>348</v>
      </c>
    </row>
    <row r="12" spans="1:13" ht="14.4" customHeight="1" x14ac:dyDescent="0.3">
      <c r="A12" s="8">
        <v>0</v>
      </c>
      <c r="B12" s="7" t="s">
        <v>118</v>
      </c>
      <c r="C12" s="5" t="s">
        <v>21</v>
      </c>
      <c r="D12" s="5" t="s">
        <v>1</v>
      </c>
      <c r="E12" s="5" t="s">
        <v>34</v>
      </c>
      <c r="F12" s="4"/>
      <c r="G12" s="4"/>
      <c r="H12" s="4">
        <v>0</v>
      </c>
      <c r="I12" s="4">
        <f t="shared" ref="I12:I18" si="0">I11+1</f>
        <v>29</v>
      </c>
      <c r="J12" s="5" t="s">
        <v>95</v>
      </c>
      <c r="L12">
        <v>8</v>
      </c>
      <c r="M12" s="46" t="s">
        <v>348</v>
      </c>
    </row>
    <row r="13" spans="1:13" ht="14.4" customHeight="1" x14ac:dyDescent="0.3">
      <c r="A13" s="8">
        <v>0</v>
      </c>
      <c r="B13" s="7" t="s">
        <v>119</v>
      </c>
      <c r="C13" s="5" t="s">
        <v>22</v>
      </c>
      <c r="D13" s="5" t="s">
        <v>29</v>
      </c>
      <c r="E13" s="5" t="s">
        <v>35</v>
      </c>
      <c r="F13" s="4"/>
      <c r="G13" s="4"/>
      <c r="H13" s="4">
        <v>0</v>
      </c>
      <c r="I13" s="4">
        <f t="shared" si="0"/>
        <v>30</v>
      </c>
      <c r="J13" s="2"/>
      <c r="L13">
        <v>9</v>
      </c>
      <c r="M13" s="46" t="s">
        <v>348</v>
      </c>
    </row>
    <row r="14" spans="1:13" ht="14.4" customHeight="1" x14ac:dyDescent="0.3">
      <c r="A14" s="8">
        <v>0</v>
      </c>
      <c r="B14" s="7" t="s">
        <v>120</v>
      </c>
      <c r="C14" s="5" t="s">
        <v>106</v>
      </c>
      <c r="D14" s="5" t="s">
        <v>105</v>
      </c>
      <c r="E14" s="5" t="s">
        <v>104</v>
      </c>
      <c r="F14" s="4"/>
      <c r="G14" s="4"/>
      <c r="H14" s="4">
        <v>0</v>
      </c>
      <c r="I14" s="4">
        <f t="shared" si="0"/>
        <v>31</v>
      </c>
      <c r="J14" s="2" t="s">
        <v>107</v>
      </c>
      <c r="L14">
        <v>10</v>
      </c>
      <c r="M14" s="46" t="s">
        <v>348</v>
      </c>
    </row>
    <row r="15" spans="1:13" ht="14.4" customHeight="1" x14ac:dyDescent="0.3">
      <c r="A15" s="8">
        <v>0</v>
      </c>
      <c r="B15" s="7" t="s">
        <v>172</v>
      </c>
      <c r="C15" s="6" t="s">
        <v>108</v>
      </c>
      <c r="D15" s="5" t="s">
        <v>1</v>
      </c>
      <c r="E15" s="6" t="s">
        <v>173</v>
      </c>
      <c r="F15" s="4"/>
      <c r="G15" s="4"/>
      <c r="H15" s="4">
        <v>0</v>
      </c>
      <c r="I15" s="4">
        <f t="shared" si="0"/>
        <v>32</v>
      </c>
      <c r="J15" s="4"/>
      <c r="L15">
        <v>11</v>
      </c>
      <c r="M15" s="46" t="s">
        <v>348</v>
      </c>
    </row>
    <row r="16" spans="1:13" ht="14.4" customHeight="1" x14ac:dyDescent="0.3">
      <c r="A16" s="8">
        <v>0</v>
      </c>
      <c r="B16" s="7" t="s">
        <v>333</v>
      </c>
      <c r="C16" s="6" t="s">
        <v>317</v>
      </c>
      <c r="D16" s="8" t="s">
        <v>1</v>
      </c>
      <c r="E16" s="8" t="s">
        <v>318</v>
      </c>
      <c r="F16" s="4"/>
      <c r="G16" s="4"/>
      <c r="H16" s="4">
        <v>0</v>
      </c>
      <c r="I16" s="4">
        <f t="shared" si="0"/>
        <v>33</v>
      </c>
      <c r="J16" s="4" t="s">
        <v>319</v>
      </c>
      <c r="L16">
        <v>12</v>
      </c>
      <c r="M16" s="46" t="s">
        <v>348</v>
      </c>
    </row>
    <row r="17" spans="1:13" ht="14.4" customHeight="1" x14ac:dyDescent="0.3">
      <c r="A17" s="8">
        <v>0</v>
      </c>
      <c r="B17" s="7" t="s">
        <v>335</v>
      </c>
      <c r="C17" s="6" t="s">
        <v>331</v>
      </c>
      <c r="D17" s="5" t="s">
        <v>1</v>
      </c>
      <c r="E17" s="8" t="s">
        <v>176</v>
      </c>
      <c r="F17" s="4"/>
      <c r="G17" s="4"/>
      <c r="H17" s="4">
        <v>0</v>
      </c>
      <c r="I17" s="4">
        <f t="shared" si="0"/>
        <v>34</v>
      </c>
      <c r="J17" s="4"/>
      <c r="L17">
        <v>13</v>
      </c>
      <c r="M17" s="46" t="s">
        <v>348</v>
      </c>
    </row>
    <row r="18" spans="1:13" ht="14.4" customHeight="1" x14ac:dyDescent="0.3">
      <c r="A18" s="8">
        <v>0</v>
      </c>
      <c r="B18" s="7" t="s">
        <v>336</v>
      </c>
      <c r="C18" s="6" t="s">
        <v>332</v>
      </c>
      <c r="D18" s="8" t="s">
        <v>1</v>
      </c>
      <c r="E18" s="1" t="s">
        <v>177</v>
      </c>
      <c r="H18" s="4">
        <v>0</v>
      </c>
      <c r="I18" s="4">
        <f t="shared" si="0"/>
        <v>35</v>
      </c>
      <c r="L18">
        <v>14</v>
      </c>
      <c r="M18" s="46" t="s">
        <v>348</v>
      </c>
    </row>
    <row r="19" spans="1:13" ht="14.4" customHeight="1" x14ac:dyDescent="0.3">
      <c r="A19" s="60" t="s">
        <v>164</v>
      </c>
      <c r="B19" s="61"/>
      <c r="C19" s="61"/>
      <c r="D19" s="61"/>
      <c r="E19" s="61"/>
      <c r="F19" s="61"/>
      <c r="G19" s="61"/>
      <c r="H19" s="61"/>
      <c r="I19" s="61"/>
      <c r="J19" s="61"/>
      <c r="K19" s="61"/>
      <c r="L19" s="61"/>
      <c r="M19" s="61"/>
    </row>
    <row r="20" spans="1:13" ht="14.4" customHeight="1" x14ac:dyDescent="0.3">
      <c r="A20" s="8">
        <v>0</v>
      </c>
      <c r="B20" s="7" t="s">
        <v>121</v>
      </c>
      <c r="C20" s="6" t="s">
        <v>23</v>
      </c>
      <c r="D20" s="5" t="s">
        <v>1</v>
      </c>
      <c r="E20" s="6" t="s">
        <v>32</v>
      </c>
      <c r="F20" s="4"/>
      <c r="G20" s="4"/>
      <c r="H20" s="4">
        <v>0</v>
      </c>
      <c r="I20" s="4">
        <f>I18+1</f>
        <v>36</v>
      </c>
      <c r="K20" t="s">
        <v>58</v>
      </c>
      <c r="L20">
        <v>15</v>
      </c>
      <c r="M20" s="46" t="s">
        <v>348</v>
      </c>
    </row>
    <row r="21" spans="1:13" ht="14.4" customHeight="1" x14ac:dyDescent="0.3">
      <c r="A21" s="8">
        <v>0</v>
      </c>
      <c r="B21" s="7" t="s">
        <v>122</v>
      </c>
      <c r="C21" s="6" t="s">
        <v>24</v>
      </c>
      <c r="D21" s="5" t="s">
        <v>1</v>
      </c>
      <c r="E21" s="6" t="s">
        <v>28</v>
      </c>
      <c r="F21" s="4"/>
      <c r="G21" s="4"/>
      <c r="H21" s="4">
        <v>0</v>
      </c>
      <c r="I21" s="4">
        <f t="shared" ref="I21:I22" si="1">I20+1</f>
        <v>37</v>
      </c>
      <c r="K21" t="s">
        <v>58</v>
      </c>
      <c r="L21">
        <v>16</v>
      </c>
      <c r="M21" s="46" t="s">
        <v>348</v>
      </c>
    </row>
    <row r="22" spans="1:13" x14ac:dyDescent="0.3">
      <c r="A22" s="8">
        <v>0</v>
      </c>
      <c r="B22" s="7" t="s">
        <v>123</v>
      </c>
      <c r="C22" s="6" t="s">
        <v>25</v>
      </c>
      <c r="D22" s="5" t="s">
        <v>1</v>
      </c>
      <c r="E22" s="6" t="s">
        <v>36</v>
      </c>
      <c r="F22" s="4"/>
      <c r="G22" s="4"/>
      <c r="H22" s="4">
        <v>0</v>
      </c>
      <c r="I22" s="4">
        <f t="shared" si="1"/>
        <v>38</v>
      </c>
      <c r="J22" s="6" t="s">
        <v>51</v>
      </c>
      <c r="K22" t="s">
        <v>58</v>
      </c>
      <c r="L22">
        <v>17</v>
      </c>
      <c r="M22" s="46" t="s">
        <v>348</v>
      </c>
    </row>
    <row r="23" spans="1:13" x14ac:dyDescent="0.3">
      <c r="A23" s="60" t="s">
        <v>189</v>
      </c>
      <c r="B23" s="61"/>
      <c r="C23" s="61"/>
      <c r="D23" s="61"/>
      <c r="E23" s="61"/>
      <c r="F23" s="61"/>
      <c r="G23" s="61"/>
      <c r="H23" s="61"/>
      <c r="I23" s="61"/>
      <c r="J23" s="61"/>
      <c r="K23" s="61"/>
      <c r="L23" s="61"/>
      <c r="M23" s="61"/>
    </row>
    <row r="24" spans="1:13" x14ac:dyDescent="0.3">
      <c r="A24" s="25">
        <v>0</v>
      </c>
      <c r="B24" s="26" t="s">
        <v>168</v>
      </c>
      <c r="C24" s="27" t="s">
        <v>37</v>
      </c>
      <c r="D24" s="28" t="s">
        <v>1</v>
      </c>
      <c r="E24" s="28" t="s">
        <v>15</v>
      </c>
      <c r="F24" s="29"/>
      <c r="G24" s="29"/>
      <c r="H24" s="29">
        <v>0</v>
      </c>
      <c r="I24" s="29">
        <v>39</v>
      </c>
      <c r="J24" s="29"/>
      <c r="K24" s="29"/>
      <c r="L24" s="29">
        <v>2000000000</v>
      </c>
      <c r="M24" s="46" t="s">
        <v>349</v>
      </c>
    </row>
    <row r="25" spans="1:13" x14ac:dyDescent="0.3">
      <c r="A25" s="25">
        <v>0</v>
      </c>
      <c r="B25" s="26" t="s">
        <v>169</v>
      </c>
      <c r="C25" s="30" t="s">
        <v>38</v>
      </c>
      <c r="D25" s="28" t="s">
        <v>1</v>
      </c>
      <c r="E25" s="28" t="s">
        <v>16</v>
      </c>
      <c r="F25" s="29"/>
      <c r="G25" s="29"/>
      <c r="H25" s="29">
        <v>0</v>
      </c>
      <c r="I25" s="29">
        <f>I24+1</f>
        <v>40</v>
      </c>
      <c r="J25" s="29"/>
      <c r="K25" s="29"/>
      <c r="L25" s="29">
        <v>2000000001</v>
      </c>
      <c r="M25" s="46" t="s">
        <v>349</v>
      </c>
    </row>
    <row r="26" spans="1:13" x14ac:dyDescent="0.3">
      <c r="A26" s="25">
        <v>0</v>
      </c>
      <c r="B26" s="26" t="s">
        <v>170</v>
      </c>
      <c r="C26" s="27" t="s">
        <v>39</v>
      </c>
      <c r="D26" s="28" t="s">
        <v>1</v>
      </c>
      <c r="E26" s="28" t="s">
        <v>17</v>
      </c>
      <c r="F26" s="29"/>
      <c r="G26" s="29"/>
      <c r="H26" s="29">
        <v>0</v>
      </c>
      <c r="I26" s="29">
        <f>I25+1</f>
        <v>41</v>
      </c>
      <c r="J26" s="29"/>
      <c r="K26" s="29"/>
      <c r="L26" s="29">
        <v>2000000002</v>
      </c>
      <c r="M26" s="46" t="s">
        <v>349</v>
      </c>
    </row>
    <row r="27" spans="1:13" x14ac:dyDescent="0.3">
      <c r="A27" s="25">
        <v>0</v>
      </c>
      <c r="B27" s="26" t="s">
        <v>171</v>
      </c>
      <c r="C27" s="27" t="s">
        <v>18</v>
      </c>
      <c r="D27" s="28" t="s">
        <v>26</v>
      </c>
      <c r="E27" s="28" t="s">
        <v>30</v>
      </c>
      <c r="F27" s="29"/>
      <c r="G27" s="29"/>
      <c r="H27" s="29">
        <v>0</v>
      </c>
      <c r="I27" s="29">
        <f t="shared" ref="I27:I34" si="2">I26+1</f>
        <v>42</v>
      </c>
      <c r="J27" s="29"/>
      <c r="K27" s="29"/>
      <c r="L27" s="29">
        <v>2000000003</v>
      </c>
      <c r="M27" s="46" t="s">
        <v>349</v>
      </c>
    </row>
    <row r="28" spans="1:13" x14ac:dyDescent="0.3">
      <c r="A28" s="25">
        <v>0</v>
      </c>
      <c r="B28" s="26" t="s">
        <v>174</v>
      </c>
      <c r="C28" s="31" t="s">
        <v>108</v>
      </c>
      <c r="D28" s="28" t="s">
        <v>1</v>
      </c>
      <c r="E28" s="31" t="s">
        <v>173</v>
      </c>
      <c r="F28" s="29"/>
      <c r="G28" s="29"/>
      <c r="H28" s="29">
        <v>0</v>
      </c>
      <c r="I28" s="29">
        <f t="shared" si="2"/>
        <v>43</v>
      </c>
      <c r="J28" s="29"/>
      <c r="K28" s="29"/>
      <c r="L28" s="29">
        <v>2000000004</v>
      </c>
      <c r="M28" s="46" t="s">
        <v>349</v>
      </c>
    </row>
    <row r="29" spans="1:13" x14ac:dyDescent="0.3">
      <c r="A29" s="25">
        <v>0</v>
      </c>
      <c r="B29" s="26" t="s">
        <v>175</v>
      </c>
      <c r="C29" s="28" t="s">
        <v>106</v>
      </c>
      <c r="D29" s="28" t="s">
        <v>105</v>
      </c>
      <c r="E29" s="28" t="s">
        <v>104</v>
      </c>
      <c r="F29" s="29"/>
      <c r="G29" s="29"/>
      <c r="H29" s="29">
        <v>0</v>
      </c>
      <c r="I29" s="29">
        <f t="shared" si="2"/>
        <v>44</v>
      </c>
      <c r="J29" s="29"/>
      <c r="K29" s="29"/>
      <c r="L29" s="29">
        <v>2000000005</v>
      </c>
      <c r="M29" s="46" t="s">
        <v>349</v>
      </c>
    </row>
    <row r="30" spans="1:13" x14ac:dyDescent="0.3">
      <c r="A30" s="25">
        <v>0</v>
      </c>
      <c r="B30" s="26" t="s">
        <v>178</v>
      </c>
      <c r="C30" s="31" t="s">
        <v>180</v>
      </c>
      <c r="D30" s="28" t="s">
        <v>1</v>
      </c>
      <c r="E30" s="28" t="s">
        <v>184</v>
      </c>
      <c r="F30" s="29"/>
      <c r="G30" s="29"/>
      <c r="H30" s="29">
        <v>0</v>
      </c>
      <c r="I30" s="29">
        <f t="shared" si="2"/>
        <v>45</v>
      </c>
      <c r="J30" s="29" t="s">
        <v>182</v>
      </c>
      <c r="K30" s="29"/>
      <c r="L30" s="29">
        <v>2000000006</v>
      </c>
      <c r="M30" s="46" t="s">
        <v>349</v>
      </c>
    </row>
    <row r="31" spans="1:13" x14ac:dyDescent="0.3">
      <c r="A31" s="25">
        <v>0</v>
      </c>
      <c r="B31" s="26" t="s">
        <v>179</v>
      </c>
      <c r="C31" s="31" t="s">
        <v>181</v>
      </c>
      <c r="D31" s="28" t="s">
        <v>1</v>
      </c>
      <c r="E31" s="28" t="s">
        <v>185</v>
      </c>
      <c r="F31" s="29"/>
      <c r="G31" s="29"/>
      <c r="H31" s="29">
        <v>0</v>
      </c>
      <c r="I31" s="29">
        <f t="shared" si="2"/>
        <v>46</v>
      </c>
      <c r="J31" s="29" t="s">
        <v>183</v>
      </c>
      <c r="K31" s="29"/>
      <c r="L31" s="29">
        <v>2000000007</v>
      </c>
      <c r="M31" s="46" t="s">
        <v>349</v>
      </c>
    </row>
    <row r="32" spans="1:13" x14ac:dyDescent="0.3">
      <c r="A32" s="25">
        <v>0</v>
      </c>
      <c r="B32" s="26" t="s">
        <v>334</v>
      </c>
      <c r="C32" s="31" t="s">
        <v>317</v>
      </c>
      <c r="D32" s="32" t="s">
        <v>1</v>
      </c>
      <c r="E32" s="32" t="s">
        <v>318</v>
      </c>
      <c r="F32" s="29"/>
      <c r="G32" s="29"/>
      <c r="H32" s="29">
        <v>0</v>
      </c>
      <c r="I32" s="29">
        <f t="shared" si="2"/>
        <v>47</v>
      </c>
      <c r="J32" s="29"/>
      <c r="K32" s="29"/>
      <c r="L32" s="29">
        <v>2000000008</v>
      </c>
      <c r="M32" s="46" t="s">
        <v>349</v>
      </c>
    </row>
    <row r="33" spans="1:13" x14ac:dyDescent="0.3">
      <c r="A33" s="32">
        <v>0</v>
      </c>
      <c r="B33" s="33" t="s">
        <v>337</v>
      </c>
      <c r="C33" s="31" t="s">
        <v>331</v>
      </c>
      <c r="D33" s="28" t="s">
        <v>1</v>
      </c>
      <c r="E33" s="32" t="s">
        <v>176</v>
      </c>
      <c r="F33" s="29"/>
      <c r="G33" s="29"/>
      <c r="H33" s="29">
        <v>0</v>
      </c>
      <c r="I33" s="29">
        <f t="shared" si="2"/>
        <v>48</v>
      </c>
      <c r="J33" s="29"/>
      <c r="K33" s="29"/>
      <c r="L33" s="29">
        <v>2000000009</v>
      </c>
      <c r="M33" s="46" t="s">
        <v>349</v>
      </c>
    </row>
    <row r="34" spans="1:13" x14ac:dyDescent="0.3">
      <c r="A34" s="32">
        <v>0</v>
      </c>
      <c r="B34" s="33" t="s">
        <v>338</v>
      </c>
      <c r="C34" s="31" t="s">
        <v>332</v>
      </c>
      <c r="D34" s="32" t="s">
        <v>1</v>
      </c>
      <c r="E34" s="30" t="s">
        <v>177</v>
      </c>
      <c r="F34" s="29"/>
      <c r="G34" s="29"/>
      <c r="H34" s="29">
        <v>0</v>
      </c>
      <c r="I34" s="29">
        <f t="shared" si="2"/>
        <v>49</v>
      </c>
      <c r="J34" s="29"/>
      <c r="K34" s="29"/>
      <c r="L34" s="29">
        <v>2000000010</v>
      </c>
      <c r="M34" s="46" t="s">
        <v>349</v>
      </c>
    </row>
    <row r="35" spans="1:13" x14ac:dyDescent="0.3">
      <c r="A35" s="51" t="s">
        <v>190</v>
      </c>
      <c r="B35" s="52"/>
      <c r="C35" s="52"/>
      <c r="D35" s="52"/>
      <c r="E35" s="52"/>
      <c r="F35" s="52"/>
      <c r="G35" s="52"/>
      <c r="H35" s="52"/>
      <c r="I35" s="52"/>
      <c r="J35" s="52"/>
      <c r="K35" s="52"/>
      <c r="L35" s="52"/>
    </row>
    <row r="36" spans="1:13" x14ac:dyDescent="0.3">
      <c r="A36" s="25">
        <v>0</v>
      </c>
      <c r="B36" s="26" t="s">
        <v>188</v>
      </c>
      <c r="C36" s="32" t="s">
        <v>303</v>
      </c>
      <c r="D36" s="32" t="s">
        <v>186</v>
      </c>
      <c r="E36" s="32" t="s">
        <v>187</v>
      </c>
      <c r="F36" s="34"/>
      <c r="G36" s="34"/>
      <c r="H36" s="29">
        <v>0</v>
      </c>
      <c r="I36" s="29">
        <f>I34+1</f>
        <v>50</v>
      </c>
      <c r="J36" s="34"/>
      <c r="K36" s="29" t="s">
        <v>8</v>
      </c>
      <c r="L36" s="29">
        <v>2000000011</v>
      </c>
      <c r="M36" s="46" t="s">
        <v>349</v>
      </c>
    </row>
    <row r="37" spans="1:13" x14ac:dyDescent="0.3">
      <c r="A37" s="4"/>
      <c r="B37" s="4"/>
      <c r="C37" s="4"/>
      <c r="D37" s="4"/>
      <c r="E37" s="4"/>
      <c r="F37" s="4"/>
      <c r="G37" s="4"/>
      <c r="H37" s="4"/>
      <c r="I37" s="4"/>
      <c r="J37" s="4"/>
    </row>
    <row r="38" spans="1:13" x14ac:dyDescent="0.3">
      <c r="A38" s="4"/>
      <c r="B38" s="4"/>
      <c r="C38" s="4"/>
      <c r="D38" s="4"/>
      <c r="E38" s="4"/>
      <c r="F38" s="4"/>
      <c r="G38" s="4"/>
      <c r="H38" s="4"/>
      <c r="I38" s="4"/>
      <c r="J38" s="4"/>
    </row>
    <row r="39" spans="1:13" x14ac:dyDescent="0.3">
      <c r="A39" s="4"/>
      <c r="B39" s="4"/>
      <c r="C39" s="4"/>
      <c r="D39" s="4"/>
      <c r="E39" s="4"/>
      <c r="F39" s="4"/>
      <c r="G39" s="4"/>
      <c r="H39" s="4"/>
      <c r="I39" s="4"/>
      <c r="J39" s="4"/>
    </row>
    <row r="40" spans="1:13" x14ac:dyDescent="0.3">
      <c r="A40" s="4"/>
      <c r="B40" s="4"/>
      <c r="C40" s="4"/>
      <c r="D40" s="4"/>
      <c r="E40" s="4"/>
      <c r="F40" s="4"/>
      <c r="G40" s="4"/>
      <c r="H40" s="4"/>
      <c r="I40" s="4"/>
      <c r="J40" s="4"/>
    </row>
    <row r="41" spans="1:13" x14ac:dyDescent="0.3">
      <c r="A41" s="4"/>
      <c r="B41" s="4"/>
      <c r="C41" s="4"/>
      <c r="D41" s="4"/>
      <c r="E41" s="4"/>
      <c r="F41" s="4"/>
      <c r="G41" s="4"/>
      <c r="H41" s="4"/>
      <c r="I41" s="4"/>
      <c r="J41" s="4"/>
    </row>
    <row r="42" spans="1:13" x14ac:dyDescent="0.3">
      <c r="A42" s="4"/>
      <c r="B42" s="4"/>
      <c r="C42" s="4"/>
      <c r="D42" s="4"/>
      <c r="E42" s="4"/>
      <c r="F42" s="4"/>
      <c r="G42" s="4"/>
      <c r="H42" s="4"/>
      <c r="I42" s="4"/>
      <c r="J42" s="4"/>
    </row>
  </sheetData>
  <mergeCells count="14">
    <mergeCell ref="M1:M2"/>
    <mergeCell ref="A3:M3"/>
    <mergeCell ref="A19:M19"/>
    <mergeCell ref="A23:M23"/>
    <mergeCell ref="L1:L2"/>
    <mergeCell ref="A35:L35"/>
    <mergeCell ref="H1:I1"/>
    <mergeCell ref="K1:K2"/>
    <mergeCell ref="D1:E1"/>
    <mergeCell ref="B1:B2"/>
    <mergeCell ref="C1:C2"/>
    <mergeCell ref="J1:J2"/>
    <mergeCell ref="F1:G1"/>
    <mergeCell ref="A1:A2"/>
  </mergeCells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875B36-656F-47BF-AD59-4EF6EB56C1B6}">
  <sheetPr codeName="Hoja2"/>
  <dimension ref="A1:O80"/>
  <sheetViews>
    <sheetView tabSelected="1" workbookViewId="0">
      <selection activeCell="N25" sqref="N25"/>
    </sheetView>
  </sheetViews>
  <sheetFormatPr baseColWidth="10" defaultRowHeight="14.4" x14ac:dyDescent="0.3"/>
  <cols>
    <col min="1" max="1" width="3.88671875" customWidth="1"/>
    <col min="2" max="2" width="18.77734375" customWidth="1"/>
    <col min="3" max="3" width="44" customWidth="1"/>
    <col min="5" max="5" width="10.44140625" customWidth="1"/>
    <col min="6" max="6" width="9.5546875" customWidth="1"/>
    <col min="7" max="7" width="11.109375" customWidth="1"/>
    <col min="8" max="8" width="10" customWidth="1"/>
    <col min="9" max="11" width="9.6640625" customWidth="1"/>
    <col min="12" max="12" width="80.77734375" customWidth="1"/>
    <col min="13" max="13" width="9.6640625" customWidth="1"/>
    <col min="14" max="14" width="12.88671875" customWidth="1"/>
  </cols>
  <sheetData>
    <row r="1" spans="1:15" ht="14.4" customHeight="1" x14ac:dyDescent="0.3">
      <c r="A1" s="55" t="s">
        <v>40</v>
      </c>
      <c r="B1" s="55" t="s">
        <v>9</v>
      </c>
      <c r="C1" s="55" t="s">
        <v>0</v>
      </c>
      <c r="D1" s="55" t="s">
        <v>4</v>
      </c>
      <c r="E1" s="53" t="s">
        <v>5</v>
      </c>
      <c r="F1" s="54"/>
      <c r="G1" s="55" t="s">
        <v>41</v>
      </c>
      <c r="H1" s="57" t="s">
        <v>14</v>
      </c>
      <c r="I1" s="58"/>
      <c r="J1" s="53" t="s">
        <v>162</v>
      </c>
      <c r="K1" s="54"/>
      <c r="L1" s="55" t="s">
        <v>10</v>
      </c>
      <c r="M1" s="55" t="s">
        <v>57</v>
      </c>
      <c r="N1" s="55" t="s">
        <v>316</v>
      </c>
      <c r="O1" s="59" t="s">
        <v>347</v>
      </c>
    </row>
    <row r="2" spans="1:15" x14ac:dyDescent="0.3">
      <c r="A2" s="56"/>
      <c r="B2" s="56"/>
      <c r="C2" s="56"/>
      <c r="D2" s="56"/>
      <c r="E2" s="9" t="s">
        <v>67</v>
      </c>
      <c r="F2" s="9" t="s">
        <v>68</v>
      </c>
      <c r="G2" s="56"/>
      <c r="H2" s="9" t="s">
        <v>12</v>
      </c>
      <c r="I2" s="9" t="s">
        <v>13</v>
      </c>
      <c r="J2" s="13" t="s">
        <v>12</v>
      </c>
      <c r="K2" s="13" t="s">
        <v>161</v>
      </c>
      <c r="L2" s="56"/>
      <c r="M2" s="56"/>
      <c r="N2" s="56"/>
      <c r="O2" s="59"/>
    </row>
    <row r="3" spans="1:15" x14ac:dyDescent="0.3">
      <c r="A3" s="60" t="s">
        <v>163</v>
      </c>
      <c r="B3" s="61"/>
      <c r="C3" s="61"/>
      <c r="D3" s="61"/>
      <c r="E3" s="61"/>
      <c r="F3" s="61"/>
      <c r="G3" s="61"/>
      <c r="H3" s="61"/>
      <c r="I3" s="61"/>
      <c r="J3" s="61"/>
      <c r="K3" s="61"/>
      <c r="L3" s="61"/>
      <c r="M3" s="61"/>
      <c r="N3" s="61"/>
      <c r="O3" s="61"/>
    </row>
    <row r="4" spans="1:15" x14ac:dyDescent="0.3">
      <c r="A4" s="1">
        <v>0</v>
      </c>
      <c r="B4" s="1" t="s">
        <v>130</v>
      </c>
      <c r="C4" s="1" t="s">
        <v>128</v>
      </c>
      <c r="D4" s="1" t="s">
        <v>42</v>
      </c>
      <c r="E4" s="10" t="s">
        <v>70</v>
      </c>
      <c r="F4" s="10" t="s">
        <v>69</v>
      </c>
      <c r="G4" s="1" t="s">
        <v>43</v>
      </c>
      <c r="H4" s="1"/>
      <c r="I4" s="1"/>
      <c r="J4" s="50">
        <v>0</v>
      </c>
      <c r="K4" s="50">
        <v>51</v>
      </c>
      <c r="L4" s="1" t="s">
        <v>55</v>
      </c>
      <c r="M4" s="1"/>
      <c r="N4">
        <v>18</v>
      </c>
      <c r="O4" s="46" t="s">
        <v>348</v>
      </c>
    </row>
    <row r="5" spans="1:15" x14ac:dyDescent="0.3">
      <c r="A5" s="1">
        <v>0</v>
      </c>
      <c r="B5" s="1" t="s">
        <v>131</v>
      </c>
      <c r="C5" s="1" t="s">
        <v>129</v>
      </c>
      <c r="D5" s="1" t="s">
        <v>42</v>
      </c>
      <c r="E5" s="10" t="s">
        <v>70</v>
      </c>
      <c r="F5" s="10" t="s">
        <v>69</v>
      </c>
      <c r="G5" s="1" t="s">
        <v>43</v>
      </c>
      <c r="H5" s="1"/>
      <c r="I5" s="1"/>
      <c r="J5" s="50">
        <v>0</v>
      </c>
      <c r="K5" s="50">
        <f>K4+1</f>
        <v>52</v>
      </c>
      <c r="L5" s="1" t="s">
        <v>55</v>
      </c>
      <c r="M5" s="1"/>
      <c r="N5">
        <v>19</v>
      </c>
      <c r="O5" s="46" t="s">
        <v>348</v>
      </c>
    </row>
    <row r="6" spans="1:15" x14ac:dyDescent="0.3">
      <c r="A6" s="1">
        <v>0</v>
      </c>
      <c r="B6" s="1" t="s">
        <v>125</v>
      </c>
      <c r="C6" s="1" t="s">
        <v>165</v>
      </c>
      <c r="D6" s="1" t="s">
        <v>167</v>
      </c>
      <c r="E6" s="10" t="s">
        <v>70</v>
      </c>
      <c r="F6" s="10"/>
      <c r="G6" s="1" t="s">
        <v>43</v>
      </c>
      <c r="H6" s="1"/>
      <c r="I6" s="1"/>
      <c r="J6" s="50">
        <v>0</v>
      </c>
      <c r="K6" s="50">
        <f t="shared" ref="K6:K7" si="0">K5+1</f>
        <v>53</v>
      </c>
      <c r="L6" s="1"/>
      <c r="M6" s="1"/>
      <c r="N6">
        <v>20</v>
      </c>
      <c r="O6" s="46" t="s">
        <v>348</v>
      </c>
    </row>
    <row r="7" spans="1:15" x14ac:dyDescent="0.3">
      <c r="A7" s="1">
        <v>0</v>
      </c>
      <c r="B7" s="1" t="s">
        <v>124</v>
      </c>
      <c r="C7" s="1" t="s">
        <v>166</v>
      </c>
      <c r="D7" s="1" t="s">
        <v>167</v>
      </c>
      <c r="E7" s="10" t="s">
        <v>70</v>
      </c>
      <c r="F7" s="10"/>
      <c r="G7" s="1" t="s">
        <v>43</v>
      </c>
      <c r="H7" s="1"/>
      <c r="I7" s="1"/>
      <c r="J7" s="50">
        <v>0</v>
      </c>
      <c r="K7" s="50">
        <f t="shared" si="0"/>
        <v>54</v>
      </c>
      <c r="L7" s="1"/>
      <c r="M7" s="1"/>
      <c r="N7">
        <v>21</v>
      </c>
      <c r="O7" s="46" t="s">
        <v>348</v>
      </c>
    </row>
    <row r="8" spans="1:15" s="24" customFormat="1" x14ac:dyDescent="0.3">
      <c r="A8" s="35">
        <v>0</v>
      </c>
      <c r="B8" s="35" t="s">
        <v>132</v>
      </c>
      <c r="C8" s="35" t="s">
        <v>44</v>
      </c>
      <c r="D8" s="35" t="s">
        <v>46</v>
      </c>
      <c r="E8" s="36"/>
      <c r="F8" s="36"/>
      <c r="G8" s="35" t="s">
        <v>43</v>
      </c>
      <c r="H8" s="35"/>
      <c r="I8" s="35"/>
      <c r="J8" s="47">
        <v>0</v>
      </c>
      <c r="K8" s="47">
        <v>55</v>
      </c>
      <c r="L8" s="35" t="s">
        <v>54</v>
      </c>
      <c r="M8" s="35"/>
      <c r="N8" s="24">
        <v>22</v>
      </c>
      <c r="O8" s="45" t="s">
        <v>348</v>
      </c>
    </row>
    <row r="9" spans="1:15" s="24" customFormat="1" x14ac:dyDescent="0.3">
      <c r="A9" s="35">
        <v>0</v>
      </c>
      <c r="B9" s="35" t="s">
        <v>133</v>
      </c>
      <c r="C9" s="35" t="s">
        <v>45</v>
      </c>
      <c r="D9" s="35" t="s">
        <v>46</v>
      </c>
      <c r="E9" s="36"/>
      <c r="F9" s="36"/>
      <c r="G9" s="35" t="s">
        <v>43</v>
      </c>
      <c r="H9" s="35"/>
      <c r="I9" s="35"/>
      <c r="J9" s="47">
        <v>0</v>
      </c>
      <c r="K9" s="47">
        <v>56</v>
      </c>
      <c r="L9" s="35" t="s">
        <v>54</v>
      </c>
      <c r="M9" s="35"/>
      <c r="N9" s="24">
        <v>23</v>
      </c>
      <c r="O9" s="45" t="s">
        <v>348</v>
      </c>
    </row>
    <row r="10" spans="1:15" x14ac:dyDescent="0.3">
      <c r="A10" s="1">
        <v>0</v>
      </c>
      <c r="B10" s="1" t="s">
        <v>134</v>
      </c>
      <c r="C10" s="1" t="s">
        <v>63</v>
      </c>
      <c r="D10" s="1" t="s">
        <v>64</v>
      </c>
      <c r="E10" s="10"/>
      <c r="F10" s="10"/>
      <c r="G10" s="1" t="s">
        <v>43</v>
      </c>
      <c r="H10" s="1"/>
      <c r="I10" s="1"/>
      <c r="J10" s="50">
        <v>0</v>
      </c>
      <c r="K10" s="50">
        <v>57</v>
      </c>
      <c r="L10" s="1"/>
      <c r="M10" s="1"/>
      <c r="N10">
        <v>24</v>
      </c>
      <c r="O10" s="46" t="s">
        <v>348</v>
      </c>
    </row>
    <row r="11" spans="1:15" x14ac:dyDescent="0.3">
      <c r="A11" s="1">
        <v>0</v>
      </c>
      <c r="B11" s="1" t="s">
        <v>135</v>
      </c>
      <c r="C11" s="1" t="s">
        <v>47</v>
      </c>
      <c r="D11" s="1" t="s">
        <v>42</v>
      </c>
      <c r="E11" s="10" t="s">
        <v>71</v>
      </c>
      <c r="F11" s="10" t="s">
        <v>53</v>
      </c>
      <c r="G11" s="1" t="s">
        <v>43</v>
      </c>
      <c r="H11" s="1"/>
      <c r="I11" s="1"/>
      <c r="J11" s="50">
        <v>0</v>
      </c>
      <c r="K11" s="50">
        <f>K10+1</f>
        <v>58</v>
      </c>
      <c r="L11" s="1" t="s">
        <v>56</v>
      </c>
      <c r="M11" s="1"/>
      <c r="N11">
        <v>25</v>
      </c>
      <c r="O11" s="46" t="s">
        <v>348</v>
      </c>
    </row>
    <row r="12" spans="1:15" x14ac:dyDescent="0.3">
      <c r="A12" s="1">
        <v>0</v>
      </c>
      <c r="B12" s="1" t="s">
        <v>136</v>
      </c>
      <c r="C12" s="1" t="s">
        <v>65</v>
      </c>
      <c r="D12" s="1" t="s">
        <v>66</v>
      </c>
      <c r="E12" s="10"/>
      <c r="F12" s="10"/>
      <c r="G12" s="1" t="s">
        <v>43</v>
      </c>
      <c r="H12" s="1"/>
      <c r="I12" s="1"/>
      <c r="J12" s="50">
        <v>0</v>
      </c>
      <c r="K12" s="50">
        <f t="shared" ref="K12:K14" si="1">K11+1</f>
        <v>59</v>
      </c>
      <c r="L12" s="1"/>
      <c r="M12" s="1"/>
      <c r="N12">
        <v>26</v>
      </c>
      <c r="O12" s="46" t="s">
        <v>348</v>
      </c>
    </row>
    <row r="13" spans="1:15" x14ac:dyDescent="0.3">
      <c r="A13" s="1">
        <v>0</v>
      </c>
      <c r="B13" s="1" t="s">
        <v>320</v>
      </c>
      <c r="C13" s="1" t="s">
        <v>96</v>
      </c>
      <c r="D13" s="1" t="s">
        <v>46</v>
      </c>
      <c r="E13" s="10" t="s">
        <v>191</v>
      </c>
      <c r="F13" s="10"/>
      <c r="G13" s="1" t="s">
        <v>43</v>
      </c>
      <c r="H13" s="1"/>
      <c r="I13" s="1"/>
      <c r="J13" s="50">
        <v>0</v>
      </c>
      <c r="K13" s="50">
        <f t="shared" si="1"/>
        <v>60</v>
      </c>
      <c r="L13" s="1"/>
      <c r="M13" s="1"/>
      <c r="N13">
        <v>27</v>
      </c>
      <c r="O13" s="46" t="s">
        <v>348</v>
      </c>
    </row>
    <row r="14" spans="1:15" x14ac:dyDescent="0.3">
      <c r="A14" s="1">
        <v>0</v>
      </c>
      <c r="B14" s="1" t="s">
        <v>322</v>
      </c>
      <c r="C14" s="1" t="s">
        <v>323</v>
      </c>
      <c r="D14" s="1" t="s">
        <v>52</v>
      </c>
      <c r="E14" s="10" t="s">
        <v>70</v>
      </c>
      <c r="F14" s="10" t="s">
        <v>72</v>
      </c>
      <c r="G14" s="1" t="s">
        <v>43</v>
      </c>
      <c r="H14" s="1"/>
      <c r="I14" s="1"/>
      <c r="J14" s="50">
        <v>0</v>
      </c>
      <c r="K14" s="50">
        <f t="shared" si="1"/>
        <v>61</v>
      </c>
      <c r="L14" s="1"/>
      <c r="M14" s="1"/>
      <c r="N14">
        <v>28</v>
      </c>
      <c r="O14" s="46" t="s">
        <v>348</v>
      </c>
    </row>
    <row r="15" spans="1:15" x14ac:dyDescent="0.3">
      <c r="A15" s="60" t="s">
        <v>164</v>
      </c>
      <c r="B15" s="61"/>
      <c r="C15" s="61"/>
      <c r="D15" s="61"/>
      <c r="E15" s="61"/>
      <c r="F15" s="61"/>
      <c r="G15" s="61"/>
      <c r="H15" s="61"/>
      <c r="I15" s="61"/>
      <c r="J15" s="61"/>
      <c r="K15" s="61"/>
      <c r="L15" s="61"/>
      <c r="M15" s="61"/>
      <c r="N15" s="61"/>
      <c r="O15" s="61"/>
    </row>
    <row r="16" spans="1:15" x14ac:dyDescent="0.3">
      <c r="A16" s="35">
        <v>0</v>
      </c>
      <c r="B16" s="35" t="s">
        <v>142</v>
      </c>
      <c r="C16" s="37" t="s">
        <v>102</v>
      </c>
      <c r="D16" s="35" t="s">
        <v>52</v>
      </c>
      <c r="E16" s="36" t="s">
        <v>70</v>
      </c>
      <c r="F16" s="36" t="s">
        <v>72</v>
      </c>
      <c r="G16" s="35" t="s">
        <v>43</v>
      </c>
      <c r="H16" s="35"/>
      <c r="I16" s="35"/>
      <c r="J16" s="47">
        <v>0</v>
      </c>
      <c r="K16" s="47">
        <f>K14+1</f>
        <v>62</v>
      </c>
      <c r="L16" s="35"/>
      <c r="M16" s="1" t="s">
        <v>99</v>
      </c>
      <c r="N16">
        <v>29</v>
      </c>
      <c r="O16" s="45" t="s">
        <v>348</v>
      </c>
    </row>
    <row r="17" spans="1:15" x14ac:dyDescent="0.3">
      <c r="A17" s="35">
        <v>0</v>
      </c>
      <c r="B17" s="35" t="s">
        <v>137</v>
      </c>
      <c r="C17" s="37" t="s">
        <v>103</v>
      </c>
      <c r="D17" s="35" t="s">
        <v>52</v>
      </c>
      <c r="E17" s="36" t="s">
        <v>70</v>
      </c>
      <c r="F17" s="36" t="s">
        <v>72</v>
      </c>
      <c r="G17" s="35" t="s">
        <v>43</v>
      </c>
      <c r="H17" s="35"/>
      <c r="I17" s="35"/>
      <c r="J17" s="47">
        <v>0</v>
      </c>
      <c r="K17" s="47">
        <f>K16+1</f>
        <v>63</v>
      </c>
      <c r="L17" s="35"/>
      <c r="M17" s="1" t="s">
        <v>101</v>
      </c>
      <c r="N17">
        <v>30</v>
      </c>
      <c r="O17" s="45" t="s">
        <v>348</v>
      </c>
    </row>
    <row r="18" spans="1:15" x14ac:dyDescent="0.3">
      <c r="A18" s="35">
        <v>0</v>
      </c>
      <c r="B18" s="35" t="s">
        <v>138</v>
      </c>
      <c r="C18" s="37" t="s">
        <v>59</v>
      </c>
      <c r="D18" s="35" t="s">
        <v>52</v>
      </c>
      <c r="E18" s="36" t="s">
        <v>70</v>
      </c>
      <c r="F18" s="36" t="s">
        <v>72</v>
      </c>
      <c r="G18" s="35" t="s">
        <v>43</v>
      </c>
      <c r="H18" s="35"/>
      <c r="I18" s="35"/>
      <c r="J18" s="47">
        <v>0</v>
      </c>
      <c r="K18" s="47">
        <f t="shared" ref="K18:K21" si="2">K17+1</f>
        <v>64</v>
      </c>
      <c r="L18" s="35"/>
      <c r="M18" s="1" t="s">
        <v>8</v>
      </c>
      <c r="N18">
        <v>31</v>
      </c>
      <c r="O18" s="45" t="s">
        <v>348</v>
      </c>
    </row>
    <row r="19" spans="1:15" x14ac:dyDescent="0.3">
      <c r="A19" s="35">
        <v>0</v>
      </c>
      <c r="B19" s="35" t="s">
        <v>139</v>
      </c>
      <c r="C19" s="37" t="s">
        <v>60</v>
      </c>
      <c r="D19" s="35" t="s">
        <v>52</v>
      </c>
      <c r="E19" s="36" t="s">
        <v>70</v>
      </c>
      <c r="F19" s="36" t="s">
        <v>72</v>
      </c>
      <c r="G19" s="35" t="s">
        <v>43</v>
      </c>
      <c r="H19" s="35"/>
      <c r="I19" s="35"/>
      <c r="J19" s="47">
        <v>0</v>
      </c>
      <c r="K19" s="47">
        <f t="shared" si="2"/>
        <v>65</v>
      </c>
      <c r="L19" s="35"/>
      <c r="M19" s="1" t="s">
        <v>8</v>
      </c>
      <c r="N19">
        <v>32</v>
      </c>
      <c r="O19" s="45" t="s">
        <v>348</v>
      </c>
    </row>
    <row r="20" spans="1:15" x14ac:dyDescent="0.3">
      <c r="A20" s="35">
        <v>0</v>
      </c>
      <c r="B20" s="35" t="s">
        <v>140</v>
      </c>
      <c r="C20" s="37" t="s">
        <v>61</v>
      </c>
      <c r="D20" s="35" t="s">
        <v>52</v>
      </c>
      <c r="E20" s="36" t="s">
        <v>70</v>
      </c>
      <c r="F20" s="36" t="s">
        <v>72</v>
      </c>
      <c r="G20" s="35" t="s">
        <v>43</v>
      </c>
      <c r="H20" s="35"/>
      <c r="I20" s="35"/>
      <c r="J20" s="47">
        <v>0</v>
      </c>
      <c r="K20" s="47">
        <f t="shared" si="2"/>
        <v>66</v>
      </c>
      <c r="L20" s="35"/>
      <c r="M20" s="1" t="s">
        <v>8</v>
      </c>
      <c r="N20">
        <v>33</v>
      </c>
      <c r="O20" s="45" t="s">
        <v>348</v>
      </c>
    </row>
    <row r="21" spans="1:15" x14ac:dyDescent="0.3">
      <c r="A21" s="35">
        <v>0</v>
      </c>
      <c r="B21" s="35" t="s">
        <v>141</v>
      </c>
      <c r="C21" s="37" t="s">
        <v>62</v>
      </c>
      <c r="D21" s="35" t="s">
        <v>52</v>
      </c>
      <c r="E21" s="36" t="s">
        <v>70</v>
      </c>
      <c r="F21" s="36" t="s">
        <v>72</v>
      </c>
      <c r="G21" s="35" t="s">
        <v>43</v>
      </c>
      <c r="H21" s="35"/>
      <c r="I21" s="35"/>
      <c r="J21" s="47">
        <v>0</v>
      </c>
      <c r="K21" s="47">
        <f t="shared" si="2"/>
        <v>67</v>
      </c>
      <c r="L21" s="35"/>
      <c r="M21" s="1" t="s">
        <v>8</v>
      </c>
      <c r="N21">
        <v>34</v>
      </c>
      <c r="O21" s="45" t="s">
        <v>348</v>
      </c>
    </row>
    <row r="22" spans="1:15" x14ac:dyDescent="0.3">
      <c r="A22" s="60" t="s">
        <v>189</v>
      </c>
      <c r="B22" s="61"/>
      <c r="C22" s="61"/>
      <c r="D22" s="61"/>
      <c r="E22" s="61"/>
      <c r="F22" s="61"/>
      <c r="G22" s="61"/>
      <c r="H22" s="61"/>
      <c r="I22" s="61"/>
      <c r="J22" s="61"/>
      <c r="K22" s="61"/>
      <c r="L22" s="61"/>
      <c r="M22" s="61"/>
      <c r="N22" s="61"/>
      <c r="O22" s="61"/>
    </row>
    <row r="23" spans="1:15" x14ac:dyDescent="0.3">
      <c r="A23" s="30">
        <v>0</v>
      </c>
      <c r="B23" s="30" t="s">
        <v>321</v>
      </c>
      <c r="C23" s="30" t="s">
        <v>96</v>
      </c>
      <c r="D23" s="30" t="s">
        <v>46</v>
      </c>
      <c r="E23" s="38" t="s">
        <v>191</v>
      </c>
      <c r="F23" s="38"/>
      <c r="G23" s="30"/>
      <c r="H23" s="30"/>
      <c r="I23" s="30"/>
      <c r="J23" s="48">
        <v>0</v>
      </c>
      <c r="K23" s="48">
        <v>68</v>
      </c>
      <c r="L23" s="30"/>
      <c r="M23" s="1"/>
      <c r="N23">
        <v>2000000012</v>
      </c>
      <c r="O23" s="46" t="s">
        <v>349</v>
      </c>
    </row>
    <row r="24" spans="1:15" x14ac:dyDescent="0.3">
      <c r="A24" s="30">
        <v>0</v>
      </c>
      <c r="B24" s="30" t="s">
        <v>324</v>
      </c>
      <c r="C24" s="30" t="s">
        <v>323</v>
      </c>
      <c r="D24" s="30" t="s">
        <v>52</v>
      </c>
      <c r="E24" s="38" t="s">
        <v>70</v>
      </c>
      <c r="F24" s="38" t="s">
        <v>72</v>
      </c>
      <c r="G24" s="30"/>
      <c r="H24" s="30"/>
      <c r="I24" s="30"/>
      <c r="J24" s="48">
        <v>0</v>
      </c>
      <c r="K24" s="48">
        <v>69</v>
      </c>
      <c r="L24" s="30"/>
      <c r="M24" s="1"/>
      <c r="N24">
        <v>2000000013</v>
      </c>
      <c r="O24" s="46" t="s">
        <v>349</v>
      </c>
    </row>
    <row r="25" spans="1:15" x14ac:dyDescent="0.3">
      <c r="A25" s="35">
        <v>0</v>
      </c>
      <c r="B25" s="35" t="s">
        <v>198</v>
      </c>
      <c r="C25" s="35" t="s">
        <v>203</v>
      </c>
      <c r="D25" s="35" t="s">
        <v>167</v>
      </c>
      <c r="E25" s="36" t="s">
        <v>70</v>
      </c>
      <c r="F25" s="36" t="s">
        <v>346</v>
      </c>
      <c r="G25" s="35"/>
      <c r="H25" s="35"/>
      <c r="I25" s="35"/>
      <c r="J25" s="47">
        <v>0</v>
      </c>
      <c r="K25" s="47">
        <f>K24+1</f>
        <v>70</v>
      </c>
      <c r="L25" s="35"/>
      <c r="M25" s="1"/>
      <c r="N25">
        <f>SUM(N24,1)</f>
        <v>2000000014</v>
      </c>
      <c r="O25" s="45" t="s">
        <v>348</v>
      </c>
    </row>
    <row r="26" spans="1:15" x14ac:dyDescent="0.3">
      <c r="A26" s="35">
        <v>0</v>
      </c>
      <c r="B26" s="35" t="s">
        <v>202</v>
      </c>
      <c r="C26" s="35" t="s">
        <v>204</v>
      </c>
      <c r="D26" s="35" t="s">
        <v>167</v>
      </c>
      <c r="E26" s="36" t="s">
        <v>70</v>
      </c>
      <c r="F26" s="36" t="s">
        <v>346</v>
      </c>
      <c r="G26" s="35"/>
      <c r="H26" s="35"/>
      <c r="I26" s="35"/>
      <c r="J26" s="47">
        <v>0</v>
      </c>
      <c r="K26" s="47">
        <f t="shared" ref="K26:K70" si="3">K25+1</f>
        <v>71</v>
      </c>
      <c r="L26" s="35"/>
      <c r="M26" s="1"/>
      <c r="N26">
        <f>SUM(N25,1)</f>
        <v>2000000015</v>
      </c>
      <c r="O26" s="45" t="s">
        <v>348</v>
      </c>
    </row>
    <row r="27" spans="1:15" x14ac:dyDescent="0.3">
      <c r="A27" s="35">
        <v>0</v>
      </c>
      <c r="B27" s="35" t="s">
        <v>201</v>
      </c>
      <c r="C27" s="35" t="s">
        <v>205</v>
      </c>
      <c r="D27" s="35" t="s">
        <v>167</v>
      </c>
      <c r="E27" s="36" t="s">
        <v>70</v>
      </c>
      <c r="F27" s="36" t="s">
        <v>346</v>
      </c>
      <c r="G27" s="35"/>
      <c r="H27" s="35"/>
      <c r="I27" s="35"/>
      <c r="J27" s="47">
        <v>0</v>
      </c>
      <c r="K27" s="47">
        <f t="shared" si="3"/>
        <v>72</v>
      </c>
      <c r="L27" s="35"/>
      <c r="M27" s="1"/>
      <c r="N27">
        <f>SUM(N26,1)</f>
        <v>2000000016</v>
      </c>
      <c r="O27" s="45" t="s">
        <v>348</v>
      </c>
    </row>
    <row r="28" spans="1:15" x14ac:dyDescent="0.3">
      <c r="A28" s="35">
        <v>0</v>
      </c>
      <c r="B28" s="35" t="s">
        <v>199</v>
      </c>
      <c r="C28" s="35" t="s">
        <v>206</v>
      </c>
      <c r="D28" s="35" t="s">
        <v>208</v>
      </c>
      <c r="E28" s="36" t="s">
        <v>209</v>
      </c>
      <c r="F28" s="36" t="s">
        <v>211</v>
      </c>
      <c r="G28" s="35"/>
      <c r="H28" s="35"/>
      <c r="I28" s="35"/>
      <c r="J28" s="47">
        <v>0</v>
      </c>
      <c r="K28" s="47">
        <f t="shared" si="3"/>
        <v>73</v>
      </c>
      <c r="L28" s="35"/>
      <c r="M28" s="1"/>
      <c r="N28">
        <f t="shared" ref="N28:N70" si="4">SUM(N27,1)</f>
        <v>2000000017</v>
      </c>
      <c r="O28" s="45" t="s">
        <v>348</v>
      </c>
    </row>
    <row r="29" spans="1:15" x14ac:dyDescent="0.3">
      <c r="A29" s="35">
        <v>0</v>
      </c>
      <c r="B29" s="35" t="s">
        <v>200</v>
      </c>
      <c r="C29" s="35" t="s">
        <v>207</v>
      </c>
      <c r="D29" s="35" t="s">
        <v>52</v>
      </c>
      <c r="E29" s="36" t="s">
        <v>70</v>
      </c>
      <c r="F29" s="36" t="s">
        <v>210</v>
      </c>
      <c r="G29" s="35"/>
      <c r="H29" s="35"/>
      <c r="I29" s="35"/>
      <c r="J29" s="47">
        <v>0</v>
      </c>
      <c r="K29" s="47">
        <f t="shared" si="3"/>
        <v>74</v>
      </c>
      <c r="L29" s="35"/>
      <c r="M29" s="1"/>
      <c r="N29">
        <f t="shared" si="4"/>
        <v>2000000018</v>
      </c>
      <c r="O29" s="45" t="s">
        <v>348</v>
      </c>
    </row>
    <row r="30" spans="1:15" x14ac:dyDescent="0.3">
      <c r="A30" s="35">
        <v>0</v>
      </c>
      <c r="B30" s="35" t="s">
        <v>212</v>
      </c>
      <c r="C30" s="35" t="s">
        <v>221</v>
      </c>
      <c r="D30" s="35" t="s">
        <v>167</v>
      </c>
      <c r="E30" s="36" t="s">
        <v>70</v>
      </c>
      <c r="F30" s="36" t="s">
        <v>346</v>
      </c>
      <c r="G30" s="35"/>
      <c r="H30" s="35"/>
      <c r="I30" s="35"/>
      <c r="J30" s="47">
        <v>0</v>
      </c>
      <c r="K30" s="47">
        <f t="shared" si="3"/>
        <v>75</v>
      </c>
      <c r="L30" s="35"/>
      <c r="M30" s="1"/>
      <c r="N30">
        <f t="shared" si="4"/>
        <v>2000000019</v>
      </c>
      <c r="O30" s="45" t="s">
        <v>348</v>
      </c>
    </row>
    <row r="31" spans="1:15" x14ac:dyDescent="0.3">
      <c r="A31" s="35">
        <v>0</v>
      </c>
      <c r="B31" s="35" t="s">
        <v>213</v>
      </c>
      <c r="C31" s="35" t="s">
        <v>220</v>
      </c>
      <c r="D31" s="35" t="s">
        <v>167</v>
      </c>
      <c r="E31" s="36" t="s">
        <v>70</v>
      </c>
      <c r="F31" s="36" t="s">
        <v>346</v>
      </c>
      <c r="G31" s="35"/>
      <c r="H31" s="35"/>
      <c r="I31" s="35"/>
      <c r="J31" s="47">
        <v>0</v>
      </c>
      <c r="K31" s="47">
        <f t="shared" si="3"/>
        <v>76</v>
      </c>
      <c r="L31" s="35"/>
      <c r="M31" s="1"/>
      <c r="N31">
        <f t="shared" si="4"/>
        <v>2000000020</v>
      </c>
      <c r="O31" s="45" t="s">
        <v>348</v>
      </c>
    </row>
    <row r="32" spans="1:15" x14ac:dyDescent="0.3">
      <c r="A32" s="35">
        <v>0</v>
      </c>
      <c r="B32" s="35" t="s">
        <v>214</v>
      </c>
      <c r="C32" s="35" t="s">
        <v>219</v>
      </c>
      <c r="D32" s="35" t="s">
        <v>167</v>
      </c>
      <c r="E32" s="36" t="s">
        <v>70</v>
      </c>
      <c r="F32" s="36" t="s">
        <v>346</v>
      </c>
      <c r="G32" s="35"/>
      <c r="H32" s="35"/>
      <c r="I32" s="35"/>
      <c r="J32" s="47">
        <v>0</v>
      </c>
      <c r="K32" s="47">
        <f t="shared" si="3"/>
        <v>77</v>
      </c>
      <c r="L32" s="35"/>
      <c r="M32" s="1"/>
      <c r="N32">
        <f t="shared" si="4"/>
        <v>2000000021</v>
      </c>
      <c r="O32" s="45" t="s">
        <v>348</v>
      </c>
    </row>
    <row r="33" spans="1:15" x14ac:dyDescent="0.3">
      <c r="A33" s="35">
        <v>0</v>
      </c>
      <c r="B33" s="35" t="s">
        <v>215</v>
      </c>
      <c r="C33" s="35" t="s">
        <v>218</v>
      </c>
      <c r="D33" s="35" t="s">
        <v>208</v>
      </c>
      <c r="E33" s="36" t="s">
        <v>209</v>
      </c>
      <c r="F33" s="36" t="s">
        <v>211</v>
      </c>
      <c r="G33" s="35"/>
      <c r="H33" s="35"/>
      <c r="I33" s="35"/>
      <c r="J33" s="47">
        <v>0</v>
      </c>
      <c r="K33" s="47">
        <f t="shared" si="3"/>
        <v>78</v>
      </c>
      <c r="L33" s="35"/>
      <c r="M33" s="1"/>
      <c r="N33">
        <f t="shared" si="4"/>
        <v>2000000022</v>
      </c>
      <c r="O33" s="45" t="s">
        <v>348</v>
      </c>
    </row>
    <row r="34" spans="1:15" x14ac:dyDescent="0.3">
      <c r="A34" s="35">
        <v>0</v>
      </c>
      <c r="B34" s="35" t="s">
        <v>216</v>
      </c>
      <c r="C34" s="35" t="s">
        <v>217</v>
      </c>
      <c r="D34" s="35" t="s">
        <v>52</v>
      </c>
      <c r="E34" s="36" t="s">
        <v>70</v>
      </c>
      <c r="F34" s="36" t="s">
        <v>210</v>
      </c>
      <c r="G34" s="35"/>
      <c r="H34" s="35"/>
      <c r="I34" s="35"/>
      <c r="J34" s="47">
        <v>0</v>
      </c>
      <c r="K34" s="47">
        <f t="shared" si="3"/>
        <v>79</v>
      </c>
      <c r="L34" s="35"/>
      <c r="M34" s="1"/>
      <c r="N34">
        <f t="shared" si="4"/>
        <v>2000000023</v>
      </c>
      <c r="O34" s="45" t="s">
        <v>348</v>
      </c>
    </row>
    <row r="35" spans="1:15" x14ac:dyDescent="0.3">
      <c r="A35" s="35">
        <v>0</v>
      </c>
      <c r="B35" s="35" t="s">
        <v>222</v>
      </c>
      <c r="C35" s="35" t="s">
        <v>231</v>
      </c>
      <c r="D35" s="35" t="s">
        <v>167</v>
      </c>
      <c r="E35" s="36" t="s">
        <v>70</v>
      </c>
      <c r="F35" s="36" t="s">
        <v>346</v>
      </c>
      <c r="G35" s="35"/>
      <c r="H35" s="35"/>
      <c r="I35" s="35"/>
      <c r="J35" s="47">
        <v>0</v>
      </c>
      <c r="K35" s="47">
        <f t="shared" si="3"/>
        <v>80</v>
      </c>
      <c r="L35" s="35"/>
      <c r="M35" s="1"/>
      <c r="N35">
        <f t="shared" si="4"/>
        <v>2000000024</v>
      </c>
      <c r="O35" s="45" t="s">
        <v>348</v>
      </c>
    </row>
    <row r="36" spans="1:15" x14ac:dyDescent="0.3">
      <c r="A36" s="35">
        <v>0</v>
      </c>
      <c r="B36" s="35" t="s">
        <v>223</v>
      </c>
      <c r="C36" s="35" t="s">
        <v>230</v>
      </c>
      <c r="D36" s="35" t="s">
        <v>167</v>
      </c>
      <c r="E36" s="36" t="s">
        <v>70</v>
      </c>
      <c r="F36" s="36" t="s">
        <v>346</v>
      </c>
      <c r="G36" s="35"/>
      <c r="H36" s="35"/>
      <c r="I36" s="35"/>
      <c r="J36" s="47">
        <v>0</v>
      </c>
      <c r="K36" s="47">
        <f t="shared" si="3"/>
        <v>81</v>
      </c>
      <c r="L36" s="35"/>
      <c r="M36" s="1"/>
      <c r="N36">
        <f t="shared" si="4"/>
        <v>2000000025</v>
      </c>
      <c r="O36" s="45" t="s">
        <v>348</v>
      </c>
    </row>
    <row r="37" spans="1:15" x14ac:dyDescent="0.3">
      <c r="A37" s="35">
        <v>0</v>
      </c>
      <c r="B37" s="35" t="s">
        <v>224</v>
      </c>
      <c r="C37" s="35" t="s">
        <v>229</v>
      </c>
      <c r="D37" s="35" t="s">
        <v>167</v>
      </c>
      <c r="E37" s="36" t="s">
        <v>70</v>
      </c>
      <c r="F37" s="36" t="s">
        <v>346</v>
      </c>
      <c r="G37" s="35"/>
      <c r="H37" s="35"/>
      <c r="I37" s="35"/>
      <c r="J37" s="47">
        <v>0</v>
      </c>
      <c r="K37" s="47">
        <f t="shared" si="3"/>
        <v>82</v>
      </c>
      <c r="L37" s="35"/>
      <c r="M37" s="1"/>
      <c r="N37">
        <f t="shared" si="4"/>
        <v>2000000026</v>
      </c>
      <c r="O37" s="45" t="s">
        <v>348</v>
      </c>
    </row>
    <row r="38" spans="1:15" x14ac:dyDescent="0.3">
      <c r="A38" s="35">
        <v>0</v>
      </c>
      <c r="B38" s="35" t="s">
        <v>225</v>
      </c>
      <c r="C38" s="35" t="s">
        <v>228</v>
      </c>
      <c r="D38" s="35" t="s">
        <v>208</v>
      </c>
      <c r="E38" s="36" t="s">
        <v>209</v>
      </c>
      <c r="F38" s="36" t="s">
        <v>211</v>
      </c>
      <c r="G38" s="35"/>
      <c r="H38" s="35"/>
      <c r="I38" s="35"/>
      <c r="J38" s="47">
        <v>0</v>
      </c>
      <c r="K38" s="47">
        <f t="shared" si="3"/>
        <v>83</v>
      </c>
      <c r="L38" s="35"/>
      <c r="M38" s="1"/>
      <c r="N38">
        <f t="shared" si="4"/>
        <v>2000000027</v>
      </c>
      <c r="O38" s="45" t="s">
        <v>348</v>
      </c>
    </row>
    <row r="39" spans="1:15" x14ac:dyDescent="0.3">
      <c r="A39" s="35">
        <v>0</v>
      </c>
      <c r="B39" s="35" t="s">
        <v>226</v>
      </c>
      <c r="C39" s="35" t="s">
        <v>227</v>
      </c>
      <c r="D39" s="35" t="s">
        <v>52</v>
      </c>
      <c r="E39" s="36" t="s">
        <v>70</v>
      </c>
      <c r="F39" s="36" t="s">
        <v>210</v>
      </c>
      <c r="G39" s="35"/>
      <c r="H39" s="35"/>
      <c r="I39" s="35"/>
      <c r="J39" s="47">
        <v>0</v>
      </c>
      <c r="K39" s="47">
        <f t="shared" si="3"/>
        <v>84</v>
      </c>
      <c r="L39" s="35"/>
      <c r="M39" s="1"/>
      <c r="N39">
        <f t="shared" si="4"/>
        <v>2000000028</v>
      </c>
      <c r="O39" s="45" t="s">
        <v>348</v>
      </c>
    </row>
    <row r="40" spans="1:15" x14ac:dyDescent="0.3">
      <c r="A40" s="35">
        <v>0</v>
      </c>
      <c r="B40" s="35" t="s">
        <v>232</v>
      </c>
      <c r="C40" s="35" t="s">
        <v>241</v>
      </c>
      <c r="D40" s="35" t="s">
        <v>167</v>
      </c>
      <c r="E40" s="36" t="s">
        <v>70</v>
      </c>
      <c r="F40" s="36" t="s">
        <v>346</v>
      </c>
      <c r="G40" s="35"/>
      <c r="H40" s="35"/>
      <c r="I40" s="35"/>
      <c r="J40" s="47">
        <v>0</v>
      </c>
      <c r="K40" s="47">
        <f t="shared" si="3"/>
        <v>85</v>
      </c>
      <c r="L40" s="35"/>
      <c r="M40" s="1"/>
      <c r="N40">
        <f t="shared" si="4"/>
        <v>2000000029</v>
      </c>
      <c r="O40" s="45" t="s">
        <v>348</v>
      </c>
    </row>
    <row r="41" spans="1:15" x14ac:dyDescent="0.3">
      <c r="A41" s="35">
        <v>0</v>
      </c>
      <c r="B41" s="35" t="s">
        <v>233</v>
      </c>
      <c r="C41" s="35" t="s">
        <v>240</v>
      </c>
      <c r="D41" s="35" t="s">
        <v>167</v>
      </c>
      <c r="E41" s="36" t="s">
        <v>70</v>
      </c>
      <c r="F41" s="36" t="s">
        <v>346</v>
      </c>
      <c r="G41" s="35"/>
      <c r="H41" s="35"/>
      <c r="I41" s="35"/>
      <c r="J41" s="47">
        <v>0</v>
      </c>
      <c r="K41" s="47">
        <f t="shared" si="3"/>
        <v>86</v>
      </c>
      <c r="L41" s="35"/>
      <c r="M41" s="1"/>
      <c r="N41">
        <f t="shared" si="4"/>
        <v>2000000030</v>
      </c>
      <c r="O41" s="45" t="s">
        <v>348</v>
      </c>
    </row>
    <row r="42" spans="1:15" x14ac:dyDescent="0.3">
      <c r="A42" s="35">
        <v>0</v>
      </c>
      <c r="B42" s="35" t="s">
        <v>234</v>
      </c>
      <c r="C42" s="35" t="s">
        <v>239</v>
      </c>
      <c r="D42" s="35" t="s">
        <v>167</v>
      </c>
      <c r="E42" s="36" t="s">
        <v>70</v>
      </c>
      <c r="F42" s="36" t="s">
        <v>346</v>
      </c>
      <c r="G42" s="35"/>
      <c r="H42" s="35"/>
      <c r="I42" s="35"/>
      <c r="J42" s="47">
        <v>0</v>
      </c>
      <c r="K42" s="47">
        <f t="shared" si="3"/>
        <v>87</v>
      </c>
      <c r="L42" s="35"/>
      <c r="M42" s="1"/>
      <c r="N42">
        <f t="shared" si="4"/>
        <v>2000000031</v>
      </c>
      <c r="O42" s="45" t="s">
        <v>348</v>
      </c>
    </row>
    <row r="43" spans="1:15" x14ac:dyDescent="0.3">
      <c r="A43" s="35">
        <v>0</v>
      </c>
      <c r="B43" s="35" t="s">
        <v>235</v>
      </c>
      <c r="C43" s="35" t="s">
        <v>238</v>
      </c>
      <c r="D43" s="35" t="s">
        <v>208</v>
      </c>
      <c r="E43" s="36" t="s">
        <v>209</v>
      </c>
      <c r="F43" s="36" t="s">
        <v>211</v>
      </c>
      <c r="G43" s="35"/>
      <c r="H43" s="35"/>
      <c r="I43" s="35"/>
      <c r="J43" s="47">
        <v>0</v>
      </c>
      <c r="K43" s="47">
        <f t="shared" si="3"/>
        <v>88</v>
      </c>
      <c r="L43" s="35"/>
      <c r="M43" s="1"/>
      <c r="N43">
        <f t="shared" si="4"/>
        <v>2000000032</v>
      </c>
      <c r="O43" s="45" t="s">
        <v>348</v>
      </c>
    </row>
    <row r="44" spans="1:15" x14ac:dyDescent="0.3">
      <c r="A44" s="35">
        <v>0</v>
      </c>
      <c r="B44" s="35" t="s">
        <v>236</v>
      </c>
      <c r="C44" s="35" t="s">
        <v>237</v>
      </c>
      <c r="D44" s="35" t="s">
        <v>52</v>
      </c>
      <c r="E44" s="36" t="s">
        <v>70</v>
      </c>
      <c r="F44" s="36" t="s">
        <v>210</v>
      </c>
      <c r="G44" s="35"/>
      <c r="H44" s="35"/>
      <c r="I44" s="35"/>
      <c r="J44" s="47">
        <v>0</v>
      </c>
      <c r="K44" s="47">
        <f t="shared" si="3"/>
        <v>89</v>
      </c>
      <c r="L44" s="35"/>
      <c r="M44" s="1"/>
      <c r="N44">
        <f t="shared" si="4"/>
        <v>2000000033</v>
      </c>
      <c r="O44" s="45" t="s">
        <v>348</v>
      </c>
    </row>
    <row r="45" spans="1:15" x14ac:dyDescent="0.3">
      <c r="A45" s="35">
        <v>0</v>
      </c>
      <c r="B45" s="35" t="s">
        <v>242</v>
      </c>
      <c r="C45" s="35" t="s">
        <v>267</v>
      </c>
      <c r="D45" s="35" t="s">
        <v>167</v>
      </c>
      <c r="E45" s="36" t="s">
        <v>70</v>
      </c>
      <c r="F45" s="36" t="s">
        <v>346</v>
      </c>
      <c r="G45" s="35"/>
      <c r="H45" s="35"/>
      <c r="I45" s="35"/>
      <c r="J45" s="47">
        <v>0</v>
      </c>
      <c r="K45" s="47">
        <f t="shared" si="3"/>
        <v>90</v>
      </c>
      <c r="L45" s="35"/>
      <c r="M45" s="1"/>
      <c r="N45">
        <f t="shared" si="4"/>
        <v>2000000034</v>
      </c>
      <c r="O45" s="45" t="s">
        <v>348</v>
      </c>
    </row>
    <row r="46" spans="1:15" x14ac:dyDescent="0.3">
      <c r="A46" s="35">
        <v>0</v>
      </c>
      <c r="B46" s="35" t="s">
        <v>243</v>
      </c>
      <c r="C46" s="35" t="s">
        <v>268</v>
      </c>
      <c r="D46" s="35" t="s">
        <v>167</v>
      </c>
      <c r="E46" s="36" t="s">
        <v>70</v>
      </c>
      <c r="F46" s="36" t="s">
        <v>346</v>
      </c>
      <c r="G46" s="35"/>
      <c r="H46" s="35"/>
      <c r="I46" s="35"/>
      <c r="J46" s="47">
        <v>0</v>
      </c>
      <c r="K46" s="47">
        <f t="shared" si="3"/>
        <v>91</v>
      </c>
      <c r="L46" s="35"/>
      <c r="M46" s="1"/>
      <c r="N46">
        <f t="shared" si="4"/>
        <v>2000000035</v>
      </c>
      <c r="O46" s="45" t="s">
        <v>348</v>
      </c>
    </row>
    <row r="47" spans="1:15" x14ac:dyDescent="0.3">
      <c r="A47" s="35">
        <v>0</v>
      </c>
      <c r="B47" s="35" t="s">
        <v>244</v>
      </c>
      <c r="C47" s="35" t="s">
        <v>269</v>
      </c>
      <c r="D47" s="35" t="s">
        <v>167</v>
      </c>
      <c r="E47" s="36" t="s">
        <v>70</v>
      </c>
      <c r="F47" s="36" t="s">
        <v>346</v>
      </c>
      <c r="G47" s="35"/>
      <c r="H47" s="35"/>
      <c r="I47" s="35"/>
      <c r="J47" s="47">
        <v>0</v>
      </c>
      <c r="K47" s="47">
        <f t="shared" si="3"/>
        <v>92</v>
      </c>
      <c r="L47" s="35"/>
      <c r="M47" s="1"/>
      <c r="N47">
        <f t="shared" si="4"/>
        <v>2000000036</v>
      </c>
      <c r="O47" s="45" t="s">
        <v>348</v>
      </c>
    </row>
    <row r="48" spans="1:15" x14ac:dyDescent="0.3">
      <c r="A48" s="35">
        <v>0</v>
      </c>
      <c r="B48" s="35" t="s">
        <v>245</v>
      </c>
      <c r="C48" s="35" t="s">
        <v>270</v>
      </c>
      <c r="D48" s="35" t="s">
        <v>208</v>
      </c>
      <c r="E48" s="36" t="s">
        <v>209</v>
      </c>
      <c r="F48" s="36" t="s">
        <v>211</v>
      </c>
      <c r="G48" s="35"/>
      <c r="H48" s="35"/>
      <c r="I48" s="35"/>
      <c r="J48" s="47">
        <v>0</v>
      </c>
      <c r="K48" s="47">
        <f t="shared" si="3"/>
        <v>93</v>
      </c>
      <c r="L48" s="35"/>
      <c r="M48" s="1"/>
      <c r="N48">
        <f t="shared" si="4"/>
        <v>2000000037</v>
      </c>
      <c r="O48" s="45" t="s">
        <v>348</v>
      </c>
    </row>
    <row r="49" spans="1:15" x14ac:dyDescent="0.3">
      <c r="A49" s="35">
        <v>0</v>
      </c>
      <c r="B49" s="35" t="s">
        <v>246</v>
      </c>
      <c r="C49" s="35" t="s">
        <v>271</v>
      </c>
      <c r="D49" s="35" t="s">
        <v>52</v>
      </c>
      <c r="E49" s="36" t="s">
        <v>70</v>
      </c>
      <c r="F49" s="36" t="s">
        <v>210</v>
      </c>
      <c r="G49" s="35"/>
      <c r="H49" s="35"/>
      <c r="I49" s="35"/>
      <c r="J49" s="47">
        <v>0</v>
      </c>
      <c r="K49" s="47">
        <f t="shared" si="3"/>
        <v>94</v>
      </c>
      <c r="L49" s="35"/>
      <c r="M49" s="1"/>
      <c r="N49">
        <f t="shared" si="4"/>
        <v>2000000038</v>
      </c>
      <c r="O49" s="45" t="s">
        <v>348</v>
      </c>
    </row>
    <row r="50" spans="1:15" x14ac:dyDescent="0.3">
      <c r="A50" s="35">
        <v>0</v>
      </c>
      <c r="B50" s="35" t="s">
        <v>247</v>
      </c>
      <c r="C50" s="35" t="s">
        <v>272</v>
      </c>
      <c r="D50" s="35" t="s">
        <v>167</v>
      </c>
      <c r="E50" s="36" t="s">
        <v>70</v>
      </c>
      <c r="F50" s="36" t="s">
        <v>346</v>
      </c>
      <c r="G50" s="35"/>
      <c r="H50" s="35"/>
      <c r="I50" s="35"/>
      <c r="J50" s="47">
        <v>0</v>
      </c>
      <c r="K50" s="47">
        <f t="shared" si="3"/>
        <v>95</v>
      </c>
      <c r="L50" s="35"/>
      <c r="M50" s="1"/>
      <c r="N50">
        <f t="shared" si="4"/>
        <v>2000000039</v>
      </c>
      <c r="O50" s="45" t="s">
        <v>348</v>
      </c>
    </row>
    <row r="51" spans="1:15" x14ac:dyDescent="0.3">
      <c r="A51" s="35">
        <v>0</v>
      </c>
      <c r="B51" s="35" t="s">
        <v>248</v>
      </c>
      <c r="C51" s="35" t="s">
        <v>273</v>
      </c>
      <c r="D51" s="35" t="s">
        <v>167</v>
      </c>
      <c r="E51" s="36" t="s">
        <v>70</v>
      </c>
      <c r="F51" s="36" t="s">
        <v>346</v>
      </c>
      <c r="G51" s="35"/>
      <c r="H51" s="35"/>
      <c r="I51" s="35"/>
      <c r="J51" s="47">
        <v>0</v>
      </c>
      <c r="K51" s="47">
        <f t="shared" si="3"/>
        <v>96</v>
      </c>
      <c r="L51" s="35"/>
      <c r="M51" s="1"/>
      <c r="N51">
        <f t="shared" si="4"/>
        <v>2000000040</v>
      </c>
      <c r="O51" s="45" t="s">
        <v>348</v>
      </c>
    </row>
    <row r="52" spans="1:15" x14ac:dyDescent="0.3">
      <c r="A52" s="35">
        <v>0</v>
      </c>
      <c r="B52" s="35" t="s">
        <v>249</v>
      </c>
      <c r="C52" s="35" t="s">
        <v>274</v>
      </c>
      <c r="D52" s="35" t="s">
        <v>167</v>
      </c>
      <c r="E52" s="36" t="s">
        <v>70</v>
      </c>
      <c r="F52" s="36" t="s">
        <v>346</v>
      </c>
      <c r="G52" s="35"/>
      <c r="H52" s="35"/>
      <c r="I52" s="35"/>
      <c r="J52" s="47">
        <v>0</v>
      </c>
      <c r="K52" s="47">
        <f t="shared" si="3"/>
        <v>97</v>
      </c>
      <c r="L52" s="35"/>
      <c r="M52" s="1"/>
      <c r="N52">
        <f t="shared" si="4"/>
        <v>2000000041</v>
      </c>
      <c r="O52" s="45" t="s">
        <v>348</v>
      </c>
    </row>
    <row r="53" spans="1:15" x14ac:dyDescent="0.3">
      <c r="A53" s="35">
        <v>0</v>
      </c>
      <c r="B53" s="35" t="s">
        <v>250</v>
      </c>
      <c r="C53" s="35" t="s">
        <v>275</v>
      </c>
      <c r="D53" s="35" t="s">
        <v>208</v>
      </c>
      <c r="E53" s="36" t="s">
        <v>209</v>
      </c>
      <c r="F53" s="36" t="s">
        <v>211</v>
      </c>
      <c r="G53" s="35"/>
      <c r="H53" s="35"/>
      <c r="I53" s="35"/>
      <c r="J53" s="47">
        <v>0</v>
      </c>
      <c r="K53" s="47">
        <f t="shared" si="3"/>
        <v>98</v>
      </c>
      <c r="L53" s="35"/>
      <c r="M53" s="1"/>
      <c r="N53">
        <f t="shared" si="4"/>
        <v>2000000042</v>
      </c>
      <c r="O53" s="45" t="s">
        <v>348</v>
      </c>
    </row>
    <row r="54" spans="1:15" x14ac:dyDescent="0.3">
      <c r="A54" s="35">
        <v>0</v>
      </c>
      <c r="B54" s="35" t="s">
        <v>251</v>
      </c>
      <c r="C54" s="35" t="s">
        <v>276</v>
      </c>
      <c r="D54" s="35" t="s">
        <v>52</v>
      </c>
      <c r="E54" s="36" t="s">
        <v>70</v>
      </c>
      <c r="F54" s="36" t="s">
        <v>210</v>
      </c>
      <c r="G54" s="35"/>
      <c r="H54" s="35"/>
      <c r="I54" s="35"/>
      <c r="J54" s="47">
        <v>0</v>
      </c>
      <c r="K54" s="47">
        <f t="shared" si="3"/>
        <v>99</v>
      </c>
      <c r="L54" s="35"/>
      <c r="M54" s="1"/>
      <c r="N54">
        <f t="shared" si="4"/>
        <v>2000000043</v>
      </c>
      <c r="O54" s="45" t="s">
        <v>348</v>
      </c>
    </row>
    <row r="55" spans="1:15" x14ac:dyDescent="0.3">
      <c r="A55" s="35">
        <v>0</v>
      </c>
      <c r="B55" s="35" t="s">
        <v>252</v>
      </c>
      <c r="C55" s="35" t="s">
        <v>277</v>
      </c>
      <c r="D55" s="35" t="s">
        <v>167</v>
      </c>
      <c r="E55" s="36" t="s">
        <v>70</v>
      </c>
      <c r="F55" s="36" t="s">
        <v>346</v>
      </c>
      <c r="G55" s="35"/>
      <c r="H55" s="35"/>
      <c r="I55" s="35"/>
      <c r="J55" s="47">
        <v>0</v>
      </c>
      <c r="K55" s="47">
        <f t="shared" si="3"/>
        <v>100</v>
      </c>
      <c r="L55" s="35"/>
      <c r="M55" s="1"/>
      <c r="N55">
        <f t="shared" si="4"/>
        <v>2000000044</v>
      </c>
      <c r="O55" s="45" t="s">
        <v>348</v>
      </c>
    </row>
    <row r="56" spans="1:15" x14ac:dyDescent="0.3">
      <c r="A56" s="35">
        <v>0</v>
      </c>
      <c r="B56" s="35" t="s">
        <v>253</v>
      </c>
      <c r="C56" s="35" t="s">
        <v>278</v>
      </c>
      <c r="D56" s="35" t="s">
        <v>167</v>
      </c>
      <c r="E56" s="36" t="s">
        <v>70</v>
      </c>
      <c r="F56" s="36" t="s">
        <v>346</v>
      </c>
      <c r="G56" s="35"/>
      <c r="H56" s="35"/>
      <c r="I56" s="35"/>
      <c r="J56" s="47">
        <v>0</v>
      </c>
      <c r="K56" s="47">
        <f t="shared" si="3"/>
        <v>101</v>
      </c>
      <c r="L56" s="35"/>
      <c r="M56" s="1"/>
      <c r="N56">
        <f t="shared" si="4"/>
        <v>2000000045</v>
      </c>
      <c r="O56" s="45" t="s">
        <v>348</v>
      </c>
    </row>
    <row r="57" spans="1:15" x14ac:dyDescent="0.3">
      <c r="A57" s="35">
        <v>0</v>
      </c>
      <c r="B57" s="35" t="s">
        <v>254</v>
      </c>
      <c r="C57" s="35" t="s">
        <v>279</v>
      </c>
      <c r="D57" s="35" t="s">
        <v>167</v>
      </c>
      <c r="E57" s="36" t="s">
        <v>70</v>
      </c>
      <c r="F57" s="36" t="s">
        <v>346</v>
      </c>
      <c r="G57" s="35"/>
      <c r="H57" s="35"/>
      <c r="I57" s="35"/>
      <c r="J57" s="47">
        <v>0</v>
      </c>
      <c r="K57" s="47">
        <f t="shared" si="3"/>
        <v>102</v>
      </c>
      <c r="L57" s="35"/>
      <c r="M57" s="1"/>
      <c r="N57">
        <f t="shared" si="4"/>
        <v>2000000046</v>
      </c>
      <c r="O57" s="45" t="s">
        <v>348</v>
      </c>
    </row>
    <row r="58" spans="1:15" x14ac:dyDescent="0.3">
      <c r="A58" s="35">
        <v>0</v>
      </c>
      <c r="B58" s="35" t="s">
        <v>255</v>
      </c>
      <c r="C58" s="35" t="s">
        <v>280</v>
      </c>
      <c r="D58" s="35" t="s">
        <v>208</v>
      </c>
      <c r="E58" s="36" t="s">
        <v>209</v>
      </c>
      <c r="F58" s="36" t="s">
        <v>211</v>
      </c>
      <c r="G58" s="35"/>
      <c r="H58" s="35"/>
      <c r="I58" s="35"/>
      <c r="J58" s="47">
        <v>0</v>
      </c>
      <c r="K58" s="47">
        <f t="shared" si="3"/>
        <v>103</v>
      </c>
      <c r="L58" s="35"/>
      <c r="M58" s="1"/>
      <c r="N58">
        <f t="shared" si="4"/>
        <v>2000000047</v>
      </c>
      <c r="O58" s="45" t="s">
        <v>348</v>
      </c>
    </row>
    <row r="59" spans="1:15" x14ac:dyDescent="0.3">
      <c r="A59" s="35">
        <v>0</v>
      </c>
      <c r="B59" s="35" t="s">
        <v>256</v>
      </c>
      <c r="C59" s="35" t="s">
        <v>281</v>
      </c>
      <c r="D59" s="35" t="s">
        <v>52</v>
      </c>
      <c r="E59" s="36" t="s">
        <v>70</v>
      </c>
      <c r="F59" s="36" t="s">
        <v>210</v>
      </c>
      <c r="G59" s="35"/>
      <c r="H59" s="35"/>
      <c r="I59" s="35"/>
      <c r="J59" s="47">
        <v>0</v>
      </c>
      <c r="K59" s="47">
        <f t="shared" si="3"/>
        <v>104</v>
      </c>
      <c r="L59" s="35"/>
      <c r="M59" s="1"/>
      <c r="N59">
        <f t="shared" si="4"/>
        <v>2000000048</v>
      </c>
      <c r="O59" s="45" t="s">
        <v>348</v>
      </c>
    </row>
    <row r="60" spans="1:15" x14ac:dyDescent="0.3">
      <c r="A60" s="35">
        <v>0</v>
      </c>
      <c r="B60" s="35" t="s">
        <v>257</v>
      </c>
      <c r="C60" s="35" t="s">
        <v>282</v>
      </c>
      <c r="D60" s="35" t="s">
        <v>167</v>
      </c>
      <c r="E60" s="36" t="s">
        <v>70</v>
      </c>
      <c r="F60" s="36" t="s">
        <v>346</v>
      </c>
      <c r="G60" s="35"/>
      <c r="H60" s="35"/>
      <c r="I60" s="35"/>
      <c r="J60" s="47">
        <v>0</v>
      </c>
      <c r="K60" s="47">
        <f t="shared" si="3"/>
        <v>105</v>
      </c>
      <c r="L60" s="35"/>
      <c r="M60" s="1"/>
      <c r="N60">
        <f t="shared" si="4"/>
        <v>2000000049</v>
      </c>
      <c r="O60" s="45" t="s">
        <v>348</v>
      </c>
    </row>
    <row r="61" spans="1:15" x14ac:dyDescent="0.3">
      <c r="A61" s="35">
        <v>0</v>
      </c>
      <c r="B61" s="35" t="s">
        <v>258</v>
      </c>
      <c r="C61" s="35" t="s">
        <v>283</v>
      </c>
      <c r="D61" s="35" t="s">
        <v>167</v>
      </c>
      <c r="E61" s="36" t="s">
        <v>70</v>
      </c>
      <c r="F61" s="36" t="s">
        <v>346</v>
      </c>
      <c r="G61" s="35"/>
      <c r="H61" s="35"/>
      <c r="I61" s="35"/>
      <c r="J61" s="47">
        <v>0</v>
      </c>
      <c r="K61" s="47">
        <f t="shared" si="3"/>
        <v>106</v>
      </c>
      <c r="L61" s="35"/>
      <c r="M61" s="1"/>
      <c r="N61">
        <f t="shared" si="4"/>
        <v>2000000050</v>
      </c>
      <c r="O61" s="45" t="s">
        <v>348</v>
      </c>
    </row>
    <row r="62" spans="1:15" x14ac:dyDescent="0.3">
      <c r="A62" s="35">
        <v>0</v>
      </c>
      <c r="B62" s="35" t="s">
        <v>259</v>
      </c>
      <c r="C62" s="35" t="s">
        <v>284</v>
      </c>
      <c r="D62" s="35" t="s">
        <v>167</v>
      </c>
      <c r="E62" s="36" t="s">
        <v>70</v>
      </c>
      <c r="F62" s="36" t="s">
        <v>346</v>
      </c>
      <c r="G62" s="35"/>
      <c r="H62" s="35"/>
      <c r="I62" s="35"/>
      <c r="J62" s="47">
        <v>0</v>
      </c>
      <c r="K62" s="47">
        <f t="shared" si="3"/>
        <v>107</v>
      </c>
      <c r="L62" s="35"/>
      <c r="M62" s="1"/>
      <c r="N62">
        <f t="shared" si="4"/>
        <v>2000000051</v>
      </c>
      <c r="O62" s="45" t="s">
        <v>348</v>
      </c>
    </row>
    <row r="63" spans="1:15" x14ac:dyDescent="0.3">
      <c r="A63" s="35">
        <v>0</v>
      </c>
      <c r="B63" s="35" t="s">
        <v>260</v>
      </c>
      <c r="C63" s="35" t="s">
        <v>285</v>
      </c>
      <c r="D63" s="35" t="s">
        <v>208</v>
      </c>
      <c r="E63" s="36" t="s">
        <v>209</v>
      </c>
      <c r="F63" s="36" t="s">
        <v>211</v>
      </c>
      <c r="G63" s="35"/>
      <c r="H63" s="35"/>
      <c r="I63" s="35"/>
      <c r="J63" s="47">
        <v>0</v>
      </c>
      <c r="K63" s="47">
        <f t="shared" si="3"/>
        <v>108</v>
      </c>
      <c r="L63" s="35"/>
      <c r="M63" s="1"/>
      <c r="N63">
        <f t="shared" si="4"/>
        <v>2000000052</v>
      </c>
      <c r="O63" s="45" t="s">
        <v>348</v>
      </c>
    </row>
    <row r="64" spans="1:15" x14ac:dyDescent="0.3">
      <c r="A64" s="35">
        <v>0</v>
      </c>
      <c r="B64" s="35" t="s">
        <v>261</v>
      </c>
      <c r="C64" s="35" t="s">
        <v>286</v>
      </c>
      <c r="D64" s="35" t="s">
        <v>52</v>
      </c>
      <c r="E64" s="36" t="s">
        <v>70</v>
      </c>
      <c r="F64" s="36" t="s">
        <v>210</v>
      </c>
      <c r="G64" s="35"/>
      <c r="H64" s="35"/>
      <c r="I64" s="35"/>
      <c r="J64" s="47">
        <v>0</v>
      </c>
      <c r="K64" s="47">
        <f t="shared" si="3"/>
        <v>109</v>
      </c>
      <c r="L64" s="35"/>
      <c r="M64" s="1"/>
      <c r="N64">
        <f t="shared" si="4"/>
        <v>2000000053</v>
      </c>
      <c r="O64" s="45" t="s">
        <v>348</v>
      </c>
    </row>
    <row r="65" spans="1:15" x14ac:dyDescent="0.3">
      <c r="A65" s="35">
        <v>0</v>
      </c>
      <c r="B65" s="35" t="s">
        <v>262</v>
      </c>
      <c r="C65" s="35" t="s">
        <v>287</v>
      </c>
      <c r="D65" s="35" t="s">
        <v>167</v>
      </c>
      <c r="E65" s="36" t="s">
        <v>70</v>
      </c>
      <c r="F65" s="36" t="s">
        <v>346</v>
      </c>
      <c r="G65" s="35"/>
      <c r="H65" s="35"/>
      <c r="I65" s="35"/>
      <c r="J65" s="47">
        <v>0</v>
      </c>
      <c r="K65" s="47">
        <f t="shared" si="3"/>
        <v>110</v>
      </c>
      <c r="L65" s="35"/>
      <c r="M65" s="1"/>
      <c r="N65">
        <f t="shared" si="4"/>
        <v>2000000054</v>
      </c>
      <c r="O65" s="45" t="s">
        <v>348</v>
      </c>
    </row>
    <row r="66" spans="1:15" x14ac:dyDescent="0.3">
      <c r="A66" s="35">
        <v>0</v>
      </c>
      <c r="B66" s="35" t="s">
        <v>263</v>
      </c>
      <c r="C66" s="35" t="s">
        <v>288</v>
      </c>
      <c r="D66" s="35" t="s">
        <v>167</v>
      </c>
      <c r="E66" s="36" t="s">
        <v>70</v>
      </c>
      <c r="F66" s="36" t="s">
        <v>346</v>
      </c>
      <c r="G66" s="35"/>
      <c r="H66" s="35"/>
      <c r="I66" s="35"/>
      <c r="J66" s="47">
        <v>0</v>
      </c>
      <c r="K66" s="47">
        <f t="shared" si="3"/>
        <v>111</v>
      </c>
      <c r="L66" s="35"/>
      <c r="M66" s="1"/>
      <c r="N66">
        <f t="shared" si="4"/>
        <v>2000000055</v>
      </c>
      <c r="O66" s="45" t="s">
        <v>348</v>
      </c>
    </row>
    <row r="67" spans="1:15" x14ac:dyDescent="0.3">
      <c r="A67" s="35">
        <v>0</v>
      </c>
      <c r="B67" s="35" t="s">
        <v>264</v>
      </c>
      <c r="C67" s="35" t="s">
        <v>289</v>
      </c>
      <c r="D67" s="35" t="s">
        <v>167</v>
      </c>
      <c r="E67" s="36" t="s">
        <v>70</v>
      </c>
      <c r="F67" s="36" t="s">
        <v>346</v>
      </c>
      <c r="G67" s="35"/>
      <c r="H67" s="35"/>
      <c r="I67" s="35"/>
      <c r="J67" s="47">
        <v>0</v>
      </c>
      <c r="K67" s="47">
        <f t="shared" si="3"/>
        <v>112</v>
      </c>
      <c r="L67" s="35"/>
      <c r="M67" s="1"/>
      <c r="N67">
        <f t="shared" si="4"/>
        <v>2000000056</v>
      </c>
      <c r="O67" s="45" t="s">
        <v>348</v>
      </c>
    </row>
    <row r="68" spans="1:15" x14ac:dyDescent="0.3">
      <c r="A68" s="35">
        <v>0</v>
      </c>
      <c r="B68" s="35" t="s">
        <v>265</v>
      </c>
      <c r="C68" s="35" t="s">
        <v>290</v>
      </c>
      <c r="D68" s="35" t="s">
        <v>208</v>
      </c>
      <c r="E68" s="36" t="s">
        <v>209</v>
      </c>
      <c r="F68" s="36" t="s">
        <v>211</v>
      </c>
      <c r="G68" s="35"/>
      <c r="H68" s="35"/>
      <c r="I68" s="35"/>
      <c r="J68" s="47">
        <v>0</v>
      </c>
      <c r="K68" s="47">
        <f t="shared" si="3"/>
        <v>113</v>
      </c>
      <c r="L68" s="35"/>
      <c r="M68" s="1"/>
      <c r="N68">
        <f t="shared" si="4"/>
        <v>2000000057</v>
      </c>
      <c r="O68" s="45" t="s">
        <v>348</v>
      </c>
    </row>
    <row r="69" spans="1:15" x14ac:dyDescent="0.3">
      <c r="A69" s="35">
        <v>0</v>
      </c>
      <c r="B69" s="35" t="s">
        <v>266</v>
      </c>
      <c r="C69" s="35" t="s">
        <v>291</v>
      </c>
      <c r="D69" s="35" t="s">
        <v>52</v>
      </c>
      <c r="E69" s="36" t="s">
        <v>70</v>
      </c>
      <c r="F69" s="36" t="s">
        <v>210</v>
      </c>
      <c r="G69" s="35"/>
      <c r="H69" s="35"/>
      <c r="I69" s="35"/>
      <c r="J69" s="47">
        <v>0</v>
      </c>
      <c r="K69" s="47">
        <f t="shared" si="3"/>
        <v>114</v>
      </c>
      <c r="L69" s="35"/>
      <c r="M69" s="1"/>
      <c r="N69">
        <f t="shared" si="4"/>
        <v>2000000058</v>
      </c>
      <c r="O69" s="45" t="s">
        <v>348</v>
      </c>
    </row>
    <row r="70" spans="1:15" x14ac:dyDescent="0.3">
      <c r="A70" s="35">
        <v>0</v>
      </c>
      <c r="B70" s="35" t="s">
        <v>344</v>
      </c>
      <c r="C70" s="35" t="s">
        <v>345</v>
      </c>
      <c r="D70" s="35" t="s">
        <v>52</v>
      </c>
      <c r="E70" s="36" t="s">
        <v>70</v>
      </c>
      <c r="F70" s="36" t="s">
        <v>72</v>
      </c>
      <c r="G70" s="35"/>
      <c r="H70" s="35"/>
      <c r="I70" s="35"/>
      <c r="J70" s="47">
        <v>0</v>
      </c>
      <c r="K70" s="47">
        <f t="shared" si="3"/>
        <v>115</v>
      </c>
      <c r="L70" s="35"/>
      <c r="M70" s="1"/>
      <c r="N70">
        <f t="shared" si="4"/>
        <v>2000000059</v>
      </c>
      <c r="O70" s="45" t="s">
        <v>348</v>
      </c>
    </row>
    <row r="71" spans="1:15" x14ac:dyDescent="0.3">
      <c r="A71" s="60" t="s">
        <v>190</v>
      </c>
      <c r="B71" s="61"/>
      <c r="C71" s="61"/>
      <c r="D71" s="61"/>
      <c r="E71" s="61"/>
      <c r="F71" s="61"/>
      <c r="G71" s="61"/>
      <c r="H71" s="61"/>
      <c r="I71" s="61"/>
      <c r="J71" s="61"/>
      <c r="K71" s="61"/>
      <c r="L71" s="61"/>
      <c r="M71" s="61"/>
      <c r="N71" s="61"/>
    </row>
    <row r="72" spans="1:15" x14ac:dyDescent="0.3">
      <c r="A72" s="39">
        <v>0</v>
      </c>
      <c r="B72" s="39" t="s">
        <v>192</v>
      </c>
      <c r="C72" s="39" t="s">
        <v>294</v>
      </c>
      <c r="D72" s="39" t="s">
        <v>52</v>
      </c>
      <c r="E72" s="39">
        <v>-10</v>
      </c>
      <c r="F72" s="39">
        <v>10</v>
      </c>
      <c r="G72" s="40"/>
      <c r="H72" s="39"/>
      <c r="I72" s="39"/>
      <c r="J72" s="48">
        <v>0</v>
      </c>
      <c r="K72" s="49">
        <v>116</v>
      </c>
      <c r="L72" s="39"/>
      <c r="M72" s="1" t="s">
        <v>99</v>
      </c>
      <c r="N72">
        <f>SUM(N70,1)</f>
        <v>2000000060</v>
      </c>
      <c r="O72" s="46" t="s">
        <v>349</v>
      </c>
    </row>
    <row r="73" spans="1:15" x14ac:dyDescent="0.3">
      <c r="A73" s="39">
        <v>0</v>
      </c>
      <c r="B73" s="39" t="s">
        <v>193</v>
      </c>
      <c r="C73" s="39" t="s">
        <v>295</v>
      </c>
      <c r="D73" s="39" t="s">
        <v>52</v>
      </c>
      <c r="E73" s="39">
        <v>-10</v>
      </c>
      <c r="F73" s="39">
        <v>10</v>
      </c>
      <c r="G73" s="40"/>
      <c r="H73" s="41"/>
      <c r="I73" s="41"/>
      <c r="J73" s="48">
        <v>0</v>
      </c>
      <c r="K73" s="41">
        <f>K72+1</f>
        <v>117</v>
      </c>
      <c r="L73" s="41"/>
      <c r="M73" s="1" t="s">
        <v>101</v>
      </c>
      <c r="N73">
        <f t="shared" ref="N73:N77" si="5">SUM(N72,1)</f>
        <v>2000000061</v>
      </c>
      <c r="O73" s="46" t="s">
        <v>349</v>
      </c>
    </row>
    <row r="74" spans="1:15" x14ac:dyDescent="0.3">
      <c r="A74" s="39">
        <v>0</v>
      </c>
      <c r="B74" s="39" t="s">
        <v>194</v>
      </c>
      <c r="C74" s="39" t="s">
        <v>296</v>
      </c>
      <c r="D74" s="39" t="s">
        <v>52</v>
      </c>
      <c r="E74" s="39">
        <v>-10</v>
      </c>
      <c r="F74" s="39">
        <v>10</v>
      </c>
      <c r="G74" s="40"/>
      <c r="H74" s="41"/>
      <c r="I74" s="41"/>
      <c r="J74" s="48">
        <v>0</v>
      </c>
      <c r="K74" s="41">
        <f t="shared" ref="K74:K77" si="6">K73+1</f>
        <v>118</v>
      </c>
      <c r="L74" s="41"/>
      <c r="M74" s="1" t="s">
        <v>8</v>
      </c>
      <c r="N74">
        <f t="shared" si="5"/>
        <v>2000000062</v>
      </c>
      <c r="O74" s="46" t="s">
        <v>349</v>
      </c>
    </row>
    <row r="75" spans="1:15" x14ac:dyDescent="0.3">
      <c r="A75" s="39">
        <v>0</v>
      </c>
      <c r="B75" s="39" t="s">
        <v>195</v>
      </c>
      <c r="C75" s="39" t="s">
        <v>297</v>
      </c>
      <c r="D75" s="39" t="s">
        <v>52</v>
      </c>
      <c r="E75" s="39">
        <v>-10</v>
      </c>
      <c r="F75" s="39">
        <v>10</v>
      </c>
      <c r="G75" s="40"/>
      <c r="H75" s="41"/>
      <c r="I75" s="41"/>
      <c r="J75" s="48">
        <v>0</v>
      </c>
      <c r="K75" s="41">
        <f t="shared" si="6"/>
        <v>119</v>
      </c>
      <c r="L75" s="41"/>
      <c r="M75" s="1" t="s">
        <v>8</v>
      </c>
      <c r="N75">
        <f t="shared" si="5"/>
        <v>2000000063</v>
      </c>
      <c r="O75" s="46" t="s">
        <v>349</v>
      </c>
    </row>
    <row r="76" spans="1:15" x14ac:dyDescent="0.3">
      <c r="A76" s="39">
        <v>0</v>
      </c>
      <c r="B76" s="39" t="s">
        <v>196</v>
      </c>
      <c r="C76" s="39" t="s">
        <v>298</v>
      </c>
      <c r="D76" s="39" t="s">
        <v>52</v>
      </c>
      <c r="E76" s="39">
        <v>-10</v>
      </c>
      <c r="F76" s="39">
        <v>10</v>
      </c>
      <c r="G76" s="40"/>
      <c r="H76" s="41"/>
      <c r="I76" s="41"/>
      <c r="J76" s="48">
        <v>0</v>
      </c>
      <c r="K76" s="41">
        <f t="shared" si="6"/>
        <v>120</v>
      </c>
      <c r="L76" s="41"/>
      <c r="M76" s="1" t="s">
        <v>8</v>
      </c>
      <c r="N76">
        <f t="shared" si="5"/>
        <v>2000000064</v>
      </c>
      <c r="O76" s="46" t="s">
        <v>349</v>
      </c>
    </row>
    <row r="77" spans="1:15" x14ac:dyDescent="0.3">
      <c r="A77" s="39">
        <v>0</v>
      </c>
      <c r="B77" s="39" t="s">
        <v>197</v>
      </c>
      <c r="C77" s="39" t="s">
        <v>299</v>
      </c>
      <c r="D77" s="39" t="s">
        <v>52</v>
      </c>
      <c r="E77" s="39">
        <v>-10</v>
      </c>
      <c r="F77" s="39">
        <v>10</v>
      </c>
      <c r="G77" s="40"/>
      <c r="H77" s="41"/>
      <c r="I77" s="41"/>
      <c r="J77" s="48">
        <v>0</v>
      </c>
      <c r="K77" s="41">
        <f t="shared" si="6"/>
        <v>121</v>
      </c>
      <c r="L77" s="41"/>
      <c r="M77" s="1" t="s">
        <v>8</v>
      </c>
      <c r="N77">
        <f t="shared" si="5"/>
        <v>2000000065</v>
      </c>
      <c r="O77" s="46" t="s">
        <v>349</v>
      </c>
    </row>
    <row r="78" spans="1:15" x14ac:dyDescent="0.3">
      <c r="E78" s="11"/>
      <c r="F78" s="11"/>
    </row>
    <row r="79" spans="1:15" x14ac:dyDescent="0.3">
      <c r="E79" s="11"/>
      <c r="F79" s="11"/>
    </row>
    <row r="80" spans="1:15" x14ac:dyDescent="0.3">
      <c r="E80" s="11"/>
      <c r="F80" s="11"/>
    </row>
  </sheetData>
  <mergeCells count="16">
    <mergeCell ref="O1:O2"/>
    <mergeCell ref="A3:O3"/>
    <mergeCell ref="A15:O15"/>
    <mergeCell ref="A22:O22"/>
    <mergeCell ref="N1:N2"/>
    <mergeCell ref="A71:N71"/>
    <mergeCell ref="M1:M2"/>
    <mergeCell ref="E1:F1"/>
    <mergeCell ref="G1:G2"/>
    <mergeCell ref="B1:B2"/>
    <mergeCell ref="A1:A2"/>
    <mergeCell ref="C1:C2"/>
    <mergeCell ref="D1:D2"/>
    <mergeCell ref="L1:L2"/>
    <mergeCell ref="H1:I1"/>
    <mergeCell ref="J1:K1"/>
  </mergeCells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03333-5D59-48C1-888F-6CF1FF0B7095}">
  <sheetPr codeName="Hoja3"/>
  <dimension ref="A1:M26"/>
  <sheetViews>
    <sheetView topLeftCell="D1" workbookViewId="0">
      <selection activeCell="I21" sqref="I21"/>
    </sheetView>
  </sheetViews>
  <sheetFormatPr baseColWidth="10" defaultRowHeight="14.4" x14ac:dyDescent="0.3"/>
  <cols>
    <col min="1" max="1" width="4.44140625" customWidth="1"/>
    <col min="2" max="2" width="18.5546875" customWidth="1"/>
    <col min="3" max="3" width="46.44140625" customWidth="1"/>
    <col min="4" max="5" width="18" customWidth="1"/>
    <col min="6" max="6" width="11.88671875" customWidth="1"/>
    <col min="7" max="9" width="12.109375" customWidth="1"/>
    <col min="10" max="10" width="73.77734375" customWidth="1"/>
  </cols>
  <sheetData>
    <row r="1" spans="1:13" ht="14.4" customHeight="1" x14ac:dyDescent="0.3">
      <c r="A1" s="55" t="s">
        <v>40</v>
      </c>
      <c r="B1" s="55" t="s">
        <v>9</v>
      </c>
      <c r="C1" s="55" t="s">
        <v>0</v>
      </c>
      <c r="D1" s="57" t="s">
        <v>11</v>
      </c>
      <c r="E1" s="58"/>
      <c r="F1" s="57" t="s">
        <v>14</v>
      </c>
      <c r="G1" s="58"/>
      <c r="H1" s="53" t="s">
        <v>162</v>
      </c>
      <c r="I1" s="54"/>
      <c r="J1" s="55" t="s">
        <v>10</v>
      </c>
      <c r="K1" s="55" t="s">
        <v>57</v>
      </c>
      <c r="L1" s="55" t="s">
        <v>316</v>
      </c>
      <c r="M1" s="59" t="s">
        <v>347</v>
      </c>
    </row>
    <row r="2" spans="1:13" x14ac:dyDescent="0.3">
      <c r="A2" s="56"/>
      <c r="B2" s="56"/>
      <c r="C2" s="56"/>
      <c r="D2" s="9" t="s">
        <v>6</v>
      </c>
      <c r="E2" s="9" t="s">
        <v>7</v>
      </c>
      <c r="F2" s="9" t="s">
        <v>12</v>
      </c>
      <c r="G2" s="9" t="s">
        <v>13</v>
      </c>
      <c r="H2" s="13" t="s">
        <v>12</v>
      </c>
      <c r="I2" s="13" t="s">
        <v>161</v>
      </c>
      <c r="J2" s="56"/>
      <c r="K2" s="56"/>
      <c r="L2" s="56"/>
      <c r="M2" s="59"/>
    </row>
    <row r="3" spans="1:13" ht="14.4" customHeight="1" x14ac:dyDescent="0.3">
      <c r="A3" s="60" t="s">
        <v>163</v>
      </c>
      <c r="B3" s="61"/>
      <c r="C3" s="61"/>
      <c r="D3" s="61"/>
      <c r="E3" s="61"/>
      <c r="F3" s="61"/>
      <c r="G3" s="61"/>
      <c r="H3" s="61"/>
      <c r="I3" s="61"/>
      <c r="J3" s="61"/>
      <c r="K3" s="61"/>
      <c r="L3" s="61"/>
      <c r="M3" s="61"/>
    </row>
    <row r="4" spans="1:13" ht="14.4" customHeight="1" x14ac:dyDescent="0.3">
      <c r="A4" s="1">
        <v>0</v>
      </c>
      <c r="B4" s="1" t="s">
        <v>149</v>
      </c>
      <c r="C4" s="1" t="s">
        <v>76</v>
      </c>
      <c r="D4" s="1" t="s">
        <v>84</v>
      </c>
      <c r="E4" s="1" t="s">
        <v>30</v>
      </c>
      <c r="F4" s="1"/>
      <c r="G4" s="1"/>
      <c r="H4" s="50">
        <v>0</v>
      </c>
      <c r="I4" s="50">
        <v>122</v>
      </c>
      <c r="J4" s="1"/>
      <c r="L4">
        <v>1000000000</v>
      </c>
      <c r="M4" s="46" t="s">
        <v>348</v>
      </c>
    </row>
    <row r="5" spans="1:13" ht="14.4" customHeight="1" x14ac:dyDescent="0.3">
      <c r="A5" s="1">
        <v>0</v>
      </c>
      <c r="B5" s="1" t="s">
        <v>150</v>
      </c>
      <c r="C5" s="1" t="s">
        <v>73</v>
      </c>
      <c r="D5" s="1" t="s">
        <v>85</v>
      </c>
      <c r="E5" s="1" t="s">
        <v>30</v>
      </c>
      <c r="F5" s="1"/>
      <c r="G5" s="1"/>
      <c r="H5" s="50">
        <v>0</v>
      </c>
      <c r="I5" s="50">
        <v>123</v>
      </c>
      <c r="J5" s="1"/>
      <c r="L5">
        <f>SUM(L4,1)</f>
        <v>1000000001</v>
      </c>
      <c r="M5" s="46" t="s">
        <v>348</v>
      </c>
    </row>
    <row r="6" spans="1:13" s="24" customFormat="1" ht="14.4" customHeight="1" x14ac:dyDescent="0.3">
      <c r="A6" s="35">
        <v>0</v>
      </c>
      <c r="B6" s="35" t="s">
        <v>158</v>
      </c>
      <c r="C6" s="35" t="s">
        <v>75</v>
      </c>
      <c r="D6" s="35" t="s">
        <v>85</v>
      </c>
      <c r="E6" s="35" t="s">
        <v>30</v>
      </c>
      <c r="F6" s="35"/>
      <c r="G6" s="35"/>
      <c r="H6" s="47">
        <v>0</v>
      </c>
      <c r="I6" s="47">
        <v>124</v>
      </c>
      <c r="J6" s="35"/>
      <c r="L6" s="24">
        <f t="shared" ref="L6:L17" si="0">SUM(L5,1)</f>
        <v>1000000002</v>
      </c>
      <c r="M6" s="45" t="s">
        <v>348</v>
      </c>
    </row>
    <row r="7" spans="1:13" s="24" customFormat="1" ht="14.4" customHeight="1" x14ac:dyDescent="0.3">
      <c r="A7" s="35">
        <v>0</v>
      </c>
      <c r="B7" s="35" t="s">
        <v>159</v>
      </c>
      <c r="C7" s="35" t="s">
        <v>77</v>
      </c>
      <c r="D7" s="35" t="s">
        <v>85</v>
      </c>
      <c r="E7" s="35" t="s">
        <v>30</v>
      </c>
      <c r="F7" s="35"/>
      <c r="G7" s="35"/>
      <c r="H7" s="47">
        <v>0</v>
      </c>
      <c r="I7" s="47">
        <f>I6+1</f>
        <v>125</v>
      </c>
      <c r="J7" s="35"/>
      <c r="L7" s="24">
        <f t="shared" si="0"/>
        <v>1000000003</v>
      </c>
      <c r="M7" s="45" t="s">
        <v>348</v>
      </c>
    </row>
    <row r="8" spans="1:13" s="24" customFormat="1" ht="14.4" customHeight="1" x14ac:dyDescent="0.3">
      <c r="A8" s="35">
        <v>0</v>
      </c>
      <c r="B8" s="35" t="s">
        <v>151</v>
      </c>
      <c r="C8" s="35" t="s">
        <v>74</v>
      </c>
      <c r="D8" s="35" t="s">
        <v>86</v>
      </c>
      <c r="E8" s="35" t="s">
        <v>87</v>
      </c>
      <c r="F8" s="35"/>
      <c r="G8" s="35"/>
      <c r="H8" s="47">
        <v>0</v>
      </c>
      <c r="I8" s="47">
        <f t="shared" ref="I8:I11" si="1">I7+1</f>
        <v>126</v>
      </c>
      <c r="J8" s="35"/>
      <c r="L8" s="24">
        <f t="shared" si="0"/>
        <v>1000000004</v>
      </c>
      <c r="M8" s="45" t="s">
        <v>348</v>
      </c>
    </row>
    <row r="9" spans="1:13" s="24" customFormat="1" ht="14.4" customHeight="1" x14ac:dyDescent="0.3">
      <c r="A9" s="35">
        <v>0</v>
      </c>
      <c r="B9" s="35" t="s">
        <v>152</v>
      </c>
      <c r="C9" s="35" t="s">
        <v>78</v>
      </c>
      <c r="D9" s="35" t="s">
        <v>86</v>
      </c>
      <c r="E9" s="35" t="s">
        <v>87</v>
      </c>
      <c r="F9" s="35"/>
      <c r="G9" s="35"/>
      <c r="H9" s="47">
        <v>0</v>
      </c>
      <c r="I9" s="47">
        <f t="shared" si="1"/>
        <v>127</v>
      </c>
      <c r="J9" s="35"/>
      <c r="L9" s="24">
        <f t="shared" si="0"/>
        <v>1000000005</v>
      </c>
      <c r="M9" s="45" t="s">
        <v>348</v>
      </c>
    </row>
    <row r="10" spans="1:13" s="24" customFormat="1" ht="14.4" customHeight="1" x14ac:dyDescent="0.3">
      <c r="A10" s="35">
        <v>0</v>
      </c>
      <c r="B10" s="35" t="s">
        <v>153</v>
      </c>
      <c r="C10" s="35" t="s">
        <v>79</v>
      </c>
      <c r="D10" s="35" t="s">
        <v>86</v>
      </c>
      <c r="E10" s="35" t="s">
        <v>87</v>
      </c>
      <c r="F10" s="35"/>
      <c r="G10" s="35"/>
      <c r="H10" s="47">
        <v>0</v>
      </c>
      <c r="I10" s="47">
        <f t="shared" si="1"/>
        <v>128</v>
      </c>
      <c r="J10" s="35"/>
      <c r="L10" s="24">
        <f t="shared" si="0"/>
        <v>1000000006</v>
      </c>
      <c r="M10" s="45" t="s">
        <v>348</v>
      </c>
    </row>
    <row r="11" spans="1:13" s="24" customFormat="1" ht="14.4" customHeight="1" x14ac:dyDescent="0.3">
      <c r="A11" s="35">
        <v>0</v>
      </c>
      <c r="B11" s="35" t="s">
        <v>154</v>
      </c>
      <c r="C11" s="35" t="s">
        <v>80</v>
      </c>
      <c r="D11" s="35" t="s">
        <v>86</v>
      </c>
      <c r="E11" s="35" t="s">
        <v>87</v>
      </c>
      <c r="F11" s="35"/>
      <c r="G11" s="35"/>
      <c r="H11" s="47">
        <v>0</v>
      </c>
      <c r="I11" s="47">
        <f t="shared" si="1"/>
        <v>129</v>
      </c>
      <c r="J11" s="35"/>
      <c r="L11" s="24">
        <f t="shared" si="0"/>
        <v>1000000007</v>
      </c>
      <c r="M11" s="45" t="s">
        <v>348</v>
      </c>
    </row>
    <row r="12" spans="1:13" ht="14.4" customHeight="1" x14ac:dyDescent="0.3">
      <c r="A12" s="1">
        <v>0</v>
      </c>
      <c r="B12" s="1" t="s">
        <v>156</v>
      </c>
      <c r="C12" s="1" t="s">
        <v>82</v>
      </c>
      <c r="D12" s="1" t="s">
        <v>85</v>
      </c>
      <c r="E12" s="1" t="s">
        <v>30</v>
      </c>
      <c r="F12" s="1"/>
      <c r="G12" s="1"/>
      <c r="H12" s="50">
        <v>0</v>
      </c>
      <c r="I12" s="50">
        <v>130</v>
      </c>
      <c r="J12" s="1"/>
      <c r="L12">
        <f t="shared" si="0"/>
        <v>1000000008</v>
      </c>
      <c r="M12" s="46" t="s">
        <v>348</v>
      </c>
    </row>
    <row r="13" spans="1:13" ht="14.4" customHeight="1" x14ac:dyDescent="0.3">
      <c r="A13" s="1">
        <v>0</v>
      </c>
      <c r="B13" s="1" t="s">
        <v>157</v>
      </c>
      <c r="C13" s="1" t="s">
        <v>83</v>
      </c>
      <c r="D13" s="1" t="s">
        <v>85</v>
      </c>
      <c r="E13" s="1" t="s">
        <v>30</v>
      </c>
      <c r="F13" s="1"/>
      <c r="G13" s="1"/>
      <c r="H13" s="50">
        <v>0</v>
      </c>
      <c r="I13" s="50">
        <v>131</v>
      </c>
      <c r="J13" s="1"/>
      <c r="L13">
        <f t="shared" si="0"/>
        <v>1000000009</v>
      </c>
      <c r="M13" s="46" t="s">
        <v>348</v>
      </c>
    </row>
    <row r="14" spans="1:13" s="24" customFormat="1" ht="14.4" customHeight="1" x14ac:dyDescent="0.3">
      <c r="A14" s="19">
        <v>0</v>
      </c>
      <c r="B14" s="20" t="s">
        <v>293</v>
      </c>
      <c r="C14" s="21" t="s">
        <v>106</v>
      </c>
      <c r="D14" s="21" t="s">
        <v>105</v>
      </c>
      <c r="E14" s="42" t="s">
        <v>292</v>
      </c>
      <c r="F14" s="35"/>
      <c r="G14" s="35"/>
      <c r="H14" s="47">
        <v>0</v>
      </c>
      <c r="I14" s="47">
        <v>132</v>
      </c>
      <c r="J14" s="35"/>
      <c r="L14" s="24">
        <f t="shared" si="0"/>
        <v>1000000010</v>
      </c>
      <c r="M14" s="45" t="s">
        <v>348</v>
      </c>
    </row>
    <row r="15" spans="1:13" s="24" customFormat="1" ht="14.4" customHeight="1" x14ac:dyDescent="0.3">
      <c r="A15" s="35">
        <v>0</v>
      </c>
      <c r="B15" s="35" t="s">
        <v>339</v>
      </c>
      <c r="C15" s="35" t="s">
        <v>341</v>
      </c>
      <c r="D15" s="35" t="s">
        <v>86</v>
      </c>
      <c r="E15" s="35" t="s">
        <v>87</v>
      </c>
      <c r="F15" s="35"/>
      <c r="G15" s="35"/>
      <c r="H15" s="47">
        <v>0</v>
      </c>
      <c r="I15" s="47">
        <f>I14+1</f>
        <v>133</v>
      </c>
      <c r="J15" s="35"/>
      <c r="L15" s="24">
        <f t="shared" si="0"/>
        <v>1000000011</v>
      </c>
      <c r="M15" s="45" t="s">
        <v>348</v>
      </c>
    </row>
    <row r="16" spans="1:13" s="24" customFormat="1" ht="14.4" customHeight="1" x14ac:dyDescent="0.3">
      <c r="A16" s="35">
        <v>0</v>
      </c>
      <c r="B16" s="35" t="s">
        <v>340</v>
      </c>
      <c r="C16" s="35" t="s">
        <v>342</v>
      </c>
      <c r="D16" s="35" t="s">
        <v>86</v>
      </c>
      <c r="E16" s="35" t="s">
        <v>87</v>
      </c>
      <c r="F16" s="35"/>
      <c r="G16" s="35"/>
      <c r="H16" s="47">
        <v>0</v>
      </c>
      <c r="I16" s="47">
        <f t="shared" ref="I16:I17" si="2">I15+1</f>
        <v>134</v>
      </c>
      <c r="J16" s="35"/>
      <c r="L16" s="24">
        <f t="shared" si="0"/>
        <v>1000000012</v>
      </c>
      <c r="M16" s="45" t="s">
        <v>348</v>
      </c>
    </row>
    <row r="17" spans="1:13" s="24" customFormat="1" ht="14.4" customHeight="1" x14ac:dyDescent="0.3">
      <c r="A17" s="35">
        <v>0</v>
      </c>
      <c r="B17" s="35" t="s">
        <v>343</v>
      </c>
      <c r="C17" s="35" t="s">
        <v>22</v>
      </c>
      <c r="D17" s="21" t="s">
        <v>29</v>
      </c>
      <c r="E17" s="21" t="s">
        <v>35</v>
      </c>
      <c r="F17" s="35"/>
      <c r="G17" s="35"/>
      <c r="H17" s="47">
        <v>0</v>
      </c>
      <c r="I17" s="47">
        <f t="shared" si="2"/>
        <v>135</v>
      </c>
      <c r="J17" s="35"/>
      <c r="L17" s="24">
        <f t="shared" si="0"/>
        <v>1000000013</v>
      </c>
      <c r="M17" s="45" t="s">
        <v>348</v>
      </c>
    </row>
    <row r="18" spans="1:13" ht="14.4" customHeight="1" x14ac:dyDescent="0.3">
      <c r="A18" s="1"/>
      <c r="B18" s="1"/>
      <c r="C18" s="1" t="s">
        <v>88</v>
      </c>
      <c r="D18" s="1"/>
      <c r="E18" s="1"/>
      <c r="F18" s="1"/>
      <c r="G18" s="1"/>
      <c r="H18" s="1"/>
      <c r="I18" s="1"/>
      <c r="J18" s="1"/>
    </row>
    <row r="19" spans="1:13" ht="14.4" customHeight="1" x14ac:dyDescent="0.3">
      <c r="A19" s="60" t="s">
        <v>164</v>
      </c>
      <c r="B19" s="61"/>
      <c r="C19" s="61"/>
      <c r="D19" s="61"/>
      <c r="E19" s="61"/>
      <c r="F19" s="61"/>
      <c r="G19" s="61"/>
      <c r="H19" s="61"/>
      <c r="I19" s="61"/>
      <c r="J19" s="61"/>
      <c r="K19" s="61"/>
      <c r="L19" s="61"/>
      <c r="M19" s="61"/>
    </row>
    <row r="20" spans="1:13" s="24" customFormat="1" ht="14.4" customHeight="1" x14ac:dyDescent="0.3">
      <c r="A20" s="35">
        <v>0</v>
      </c>
      <c r="B20" s="35" t="s">
        <v>155</v>
      </c>
      <c r="C20" s="35" t="s">
        <v>81</v>
      </c>
      <c r="D20" s="35" t="s">
        <v>186</v>
      </c>
      <c r="E20" s="35" t="s">
        <v>187</v>
      </c>
      <c r="F20" s="35"/>
      <c r="G20" s="35"/>
      <c r="H20" s="47">
        <v>0</v>
      </c>
      <c r="I20" s="47">
        <v>136</v>
      </c>
      <c r="J20" s="35"/>
      <c r="L20" s="24">
        <f>SUM(L17,1)</f>
        <v>1000000014</v>
      </c>
      <c r="M20" s="45" t="s">
        <v>348</v>
      </c>
    </row>
    <row r="21" spans="1:13" x14ac:dyDescent="0.3">
      <c r="C21" s="2"/>
      <c r="D21" s="2"/>
      <c r="E21" s="2"/>
      <c r="F21" s="2"/>
      <c r="G21" s="2"/>
      <c r="H21" s="2"/>
      <c r="I21" s="2"/>
    </row>
    <row r="22" spans="1:13" x14ac:dyDescent="0.3">
      <c r="C22" s="3"/>
      <c r="D22" s="3"/>
      <c r="E22" s="3"/>
      <c r="F22" s="3"/>
      <c r="G22" s="3"/>
      <c r="H22" s="3"/>
      <c r="I22" s="3"/>
    </row>
    <row r="26" spans="1:13" x14ac:dyDescent="0.3">
      <c r="C26" s="2"/>
      <c r="D26" s="2"/>
      <c r="E26" s="2"/>
      <c r="F26" s="2"/>
      <c r="G26" s="2"/>
      <c r="H26" s="2"/>
      <c r="I26" s="2"/>
    </row>
  </sheetData>
  <mergeCells count="12">
    <mergeCell ref="M1:M2"/>
    <mergeCell ref="A3:M3"/>
    <mergeCell ref="A19:M19"/>
    <mergeCell ref="L1:L2"/>
    <mergeCell ref="F1:G1"/>
    <mergeCell ref="J1:J2"/>
    <mergeCell ref="K1:K2"/>
    <mergeCell ref="A1:A2"/>
    <mergeCell ref="B1:B2"/>
    <mergeCell ref="C1:C2"/>
    <mergeCell ref="D1:E1"/>
    <mergeCell ref="H1:I1"/>
  </mergeCells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FB8E45-1565-4D04-BF1A-ACA0DF271854}">
  <sheetPr codeName="Hoja4"/>
  <dimension ref="A1:O32"/>
  <sheetViews>
    <sheetView workbookViewId="0">
      <selection activeCell="C21" sqref="C21"/>
    </sheetView>
  </sheetViews>
  <sheetFormatPr baseColWidth="10" defaultRowHeight="14.4" x14ac:dyDescent="0.3"/>
  <cols>
    <col min="1" max="1" width="4.6640625" customWidth="1"/>
    <col min="2" max="2" width="19.21875" customWidth="1"/>
    <col min="3" max="3" width="36" customWidth="1"/>
    <col min="4" max="4" width="9.77734375" customWidth="1"/>
    <col min="5" max="5" width="11.44140625" customWidth="1"/>
    <col min="6" max="11" width="11.21875" customWidth="1"/>
    <col min="12" max="12" width="88.33203125" customWidth="1"/>
  </cols>
  <sheetData>
    <row r="1" spans="1:15" x14ac:dyDescent="0.3">
      <c r="A1" s="55" t="s">
        <v>40</v>
      </c>
      <c r="B1" s="55" t="s">
        <v>9</v>
      </c>
      <c r="C1" s="55" t="s">
        <v>0</v>
      </c>
      <c r="D1" s="55" t="s">
        <v>4</v>
      </c>
      <c r="E1" s="53" t="s">
        <v>5</v>
      </c>
      <c r="F1" s="54"/>
      <c r="G1" s="55" t="s">
        <v>41</v>
      </c>
      <c r="H1" s="57" t="s">
        <v>14</v>
      </c>
      <c r="I1" s="58"/>
      <c r="J1" s="53" t="s">
        <v>162</v>
      </c>
      <c r="K1" s="54"/>
      <c r="L1" s="55" t="s">
        <v>10</v>
      </c>
      <c r="M1" s="55" t="s">
        <v>57</v>
      </c>
      <c r="N1" s="55" t="s">
        <v>316</v>
      </c>
      <c r="O1" s="59" t="s">
        <v>347</v>
      </c>
    </row>
    <row r="2" spans="1:15" x14ac:dyDescent="0.3">
      <c r="A2" s="56"/>
      <c r="B2" s="56"/>
      <c r="C2" s="56"/>
      <c r="D2" s="56"/>
      <c r="E2" s="9" t="s">
        <v>67</v>
      </c>
      <c r="F2" s="9" t="s">
        <v>68</v>
      </c>
      <c r="G2" s="56"/>
      <c r="H2" s="9" t="s">
        <v>12</v>
      </c>
      <c r="I2" s="9" t="s">
        <v>13</v>
      </c>
      <c r="J2" s="13" t="s">
        <v>12</v>
      </c>
      <c r="K2" s="13" t="s">
        <v>161</v>
      </c>
      <c r="L2" s="56"/>
      <c r="M2" s="56"/>
      <c r="N2" s="56"/>
      <c r="O2" s="59"/>
    </row>
    <row r="3" spans="1:15" x14ac:dyDescent="0.3">
      <c r="A3" s="60" t="s">
        <v>163</v>
      </c>
      <c r="B3" s="61"/>
      <c r="C3" s="61"/>
      <c r="D3" s="61"/>
      <c r="E3" s="61"/>
      <c r="F3" s="61"/>
      <c r="G3" s="61"/>
      <c r="H3" s="61"/>
      <c r="I3" s="61"/>
      <c r="J3" s="61"/>
      <c r="K3" s="61"/>
      <c r="L3" s="61"/>
      <c r="M3" s="61"/>
      <c r="N3" s="61"/>
      <c r="O3" s="61"/>
    </row>
    <row r="4" spans="1:15" x14ac:dyDescent="0.3">
      <c r="A4" s="16">
        <v>0</v>
      </c>
      <c r="B4" t="s">
        <v>309</v>
      </c>
      <c r="C4" t="s">
        <v>310</v>
      </c>
      <c r="D4" t="s">
        <v>313</v>
      </c>
      <c r="E4" s="16">
        <v>0</v>
      </c>
      <c r="F4" t="s">
        <v>346</v>
      </c>
      <c r="G4" s="1" t="s">
        <v>43</v>
      </c>
      <c r="J4">
        <v>0</v>
      </c>
      <c r="K4">
        <v>137</v>
      </c>
      <c r="L4" t="s">
        <v>314</v>
      </c>
      <c r="N4">
        <v>1000000015</v>
      </c>
      <c r="O4" s="46" t="s">
        <v>348</v>
      </c>
    </row>
    <row r="5" spans="1:15" s="14" customFormat="1" x14ac:dyDescent="0.3">
      <c r="A5" s="16">
        <v>0</v>
      </c>
      <c r="B5" t="s">
        <v>311</v>
      </c>
      <c r="C5" t="s">
        <v>312</v>
      </c>
      <c r="D5" t="s">
        <v>167</v>
      </c>
      <c r="E5" s="16">
        <v>0</v>
      </c>
      <c r="F5" t="s">
        <v>346</v>
      </c>
      <c r="G5" s="1" t="s">
        <v>43</v>
      </c>
      <c r="H5"/>
      <c r="I5"/>
      <c r="J5">
        <v>0</v>
      </c>
      <c r="K5">
        <v>138</v>
      </c>
      <c r="L5"/>
      <c r="M5" s="15"/>
      <c r="N5">
        <f t="shared" ref="N5:N8" si="0">SUM(N4,1)</f>
        <v>1000000016</v>
      </c>
      <c r="O5" s="46" t="s">
        <v>348</v>
      </c>
    </row>
    <row r="6" spans="1:15" s="14" customFormat="1" x14ac:dyDescent="0.3">
      <c r="A6" s="43">
        <v>0</v>
      </c>
      <c r="B6" s="24" t="s">
        <v>325</v>
      </c>
      <c r="C6" s="24" t="s">
        <v>328</v>
      </c>
      <c r="D6" s="24" t="s">
        <v>46</v>
      </c>
      <c r="E6" s="43" t="s">
        <v>191</v>
      </c>
      <c r="F6" s="24"/>
      <c r="G6" s="35" t="s">
        <v>43</v>
      </c>
      <c r="H6" s="24"/>
      <c r="I6" s="24"/>
      <c r="J6" s="24">
        <v>0</v>
      </c>
      <c r="K6" s="24">
        <v>139</v>
      </c>
      <c r="L6" s="24"/>
      <c r="M6" s="15"/>
      <c r="N6">
        <f t="shared" si="0"/>
        <v>1000000017</v>
      </c>
      <c r="O6" s="45" t="s">
        <v>348</v>
      </c>
    </row>
    <row r="7" spans="1:15" s="14" customFormat="1" x14ac:dyDescent="0.3">
      <c r="A7" s="43">
        <v>0</v>
      </c>
      <c r="B7" s="24" t="s">
        <v>326</v>
      </c>
      <c r="C7" s="24" t="s">
        <v>329</v>
      </c>
      <c r="D7" s="24" t="s">
        <v>52</v>
      </c>
      <c r="E7" s="43">
        <v>0</v>
      </c>
      <c r="F7" s="24">
        <v>100</v>
      </c>
      <c r="G7" s="35" t="s">
        <v>43</v>
      </c>
      <c r="H7" s="24"/>
      <c r="I7" s="24"/>
      <c r="J7" s="24">
        <v>0</v>
      </c>
      <c r="K7" s="24">
        <v>140</v>
      </c>
      <c r="L7" s="24"/>
      <c r="M7" s="15"/>
      <c r="N7">
        <f t="shared" si="0"/>
        <v>1000000018</v>
      </c>
      <c r="O7" s="45" t="s">
        <v>348</v>
      </c>
    </row>
    <row r="8" spans="1:15" s="14" customFormat="1" x14ac:dyDescent="0.3">
      <c r="A8" s="43">
        <v>0</v>
      </c>
      <c r="B8" s="24" t="s">
        <v>327</v>
      </c>
      <c r="C8" s="24" t="s">
        <v>330</v>
      </c>
      <c r="D8" s="24" t="s">
        <v>42</v>
      </c>
      <c r="E8" s="43">
        <v>0</v>
      </c>
      <c r="F8" s="24"/>
      <c r="G8" s="35" t="s">
        <v>43</v>
      </c>
      <c r="H8" s="24"/>
      <c r="I8" s="24"/>
      <c r="J8" s="24">
        <v>0</v>
      </c>
      <c r="K8" s="24">
        <v>141</v>
      </c>
      <c r="L8" s="24"/>
      <c r="M8" s="15"/>
      <c r="N8">
        <f t="shared" si="0"/>
        <v>1000000019</v>
      </c>
      <c r="O8" s="45" t="s">
        <v>348</v>
      </c>
    </row>
    <row r="9" spans="1:15" s="14" customFormat="1" x14ac:dyDescent="0.3">
      <c r="A9" s="16"/>
      <c r="B9"/>
      <c r="C9"/>
      <c r="D9"/>
      <c r="E9"/>
      <c r="F9"/>
      <c r="G9" s="11"/>
      <c r="H9"/>
      <c r="I9"/>
      <c r="J9"/>
      <c r="K9"/>
      <c r="L9"/>
      <c r="M9" s="15"/>
      <c r="N9" s="17"/>
      <c r="O9" s="18"/>
    </row>
    <row r="10" spans="1:15" x14ac:dyDescent="0.3">
      <c r="A10" s="60" t="s">
        <v>164</v>
      </c>
      <c r="B10" s="61"/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  <c r="N10" s="61"/>
      <c r="O10" s="61"/>
    </row>
    <row r="11" spans="1:15" x14ac:dyDescent="0.3">
      <c r="A11" s="35">
        <v>0</v>
      </c>
      <c r="B11" s="35" t="s">
        <v>143</v>
      </c>
      <c r="C11" s="35" t="s">
        <v>97</v>
      </c>
      <c r="D11" s="35" t="s">
        <v>52</v>
      </c>
      <c r="E11" s="35">
        <v>-10</v>
      </c>
      <c r="F11" s="35">
        <v>10</v>
      </c>
      <c r="G11" s="36" t="s">
        <v>89</v>
      </c>
      <c r="H11" s="35"/>
      <c r="I11" s="35"/>
      <c r="J11" s="24">
        <v>0</v>
      </c>
      <c r="K11" s="47">
        <v>142</v>
      </c>
      <c r="L11" s="35" t="s">
        <v>100</v>
      </c>
      <c r="M11" s="1" t="s">
        <v>99</v>
      </c>
      <c r="N11">
        <f>SUM(N8,1)</f>
        <v>1000000020</v>
      </c>
      <c r="O11" s="45" t="s">
        <v>348</v>
      </c>
    </row>
    <row r="12" spans="1:15" x14ac:dyDescent="0.3">
      <c r="A12" s="35">
        <v>0</v>
      </c>
      <c r="B12" s="35" t="s">
        <v>144</v>
      </c>
      <c r="C12" s="35" t="s">
        <v>98</v>
      </c>
      <c r="D12" s="35" t="s">
        <v>52</v>
      </c>
      <c r="E12" s="35">
        <v>-10</v>
      </c>
      <c r="F12" s="35">
        <v>10</v>
      </c>
      <c r="G12" s="36" t="s">
        <v>89</v>
      </c>
      <c r="H12" s="35"/>
      <c r="I12" s="35"/>
      <c r="J12" s="24">
        <v>0</v>
      </c>
      <c r="K12" s="47">
        <f>K11+1</f>
        <v>143</v>
      </c>
      <c r="L12" s="35"/>
      <c r="M12" s="1" t="s">
        <v>101</v>
      </c>
      <c r="N12">
        <f t="shared" ref="N12:N16" si="1">SUM(N11,1)</f>
        <v>1000000021</v>
      </c>
      <c r="O12" s="45" t="s">
        <v>348</v>
      </c>
    </row>
    <row r="13" spans="1:15" x14ac:dyDescent="0.3">
      <c r="A13" s="35">
        <v>0</v>
      </c>
      <c r="B13" s="35" t="s">
        <v>145</v>
      </c>
      <c r="C13" s="35" t="s">
        <v>90</v>
      </c>
      <c r="D13" s="35" t="s">
        <v>52</v>
      </c>
      <c r="E13" s="35">
        <v>-10</v>
      </c>
      <c r="F13" s="35">
        <v>10</v>
      </c>
      <c r="G13" s="36" t="s">
        <v>89</v>
      </c>
      <c r="H13" s="35"/>
      <c r="I13" s="35"/>
      <c r="J13" s="24">
        <v>0</v>
      </c>
      <c r="K13" s="47">
        <f t="shared" ref="K13:K16" si="2">K12+1</f>
        <v>144</v>
      </c>
      <c r="L13" s="35"/>
      <c r="M13" s="1" t="s">
        <v>8</v>
      </c>
      <c r="N13">
        <f t="shared" si="1"/>
        <v>1000000022</v>
      </c>
      <c r="O13" s="45" t="s">
        <v>348</v>
      </c>
    </row>
    <row r="14" spans="1:15" x14ac:dyDescent="0.3">
      <c r="A14" s="35">
        <v>0</v>
      </c>
      <c r="B14" s="35" t="s">
        <v>146</v>
      </c>
      <c r="C14" s="35" t="s">
        <v>91</v>
      </c>
      <c r="D14" s="35" t="s">
        <v>52</v>
      </c>
      <c r="E14" s="35">
        <v>-10</v>
      </c>
      <c r="F14" s="35">
        <v>10</v>
      </c>
      <c r="G14" s="36" t="s">
        <v>89</v>
      </c>
      <c r="H14" s="35"/>
      <c r="I14" s="35"/>
      <c r="J14" s="24">
        <v>0</v>
      </c>
      <c r="K14" s="47">
        <f t="shared" si="2"/>
        <v>145</v>
      </c>
      <c r="L14" s="35"/>
      <c r="M14" s="1" t="s">
        <v>8</v>
      </c>
      <c r="N14">
        <f t="shared" si="1"/>
        <v>1000000023</v>
      </c>
      <c r="O14" s="45" t="s">
        <v>348</v>
      </c>
    </row>
    <row r="15" spans="1:15" x14ac:dyDescent="0.3">
      <c r="A15" s="35">
        <v>0</v>
      </c>
      <c r="B15" s="35" t="s">
        <v>147</v>
      </c>
      <c r="C15" s="35" t="s">
        <v>92</v>
      </c>
      <c r="D15" s="35" t="s">
        <v>52</v>
      </c>
      <c r="E15" s="35">
        <v>-10</v>
      </c>
      <c r="F15" s="35">
        <v>10</v>
      </c>
      <c r="G15" s="36" t="s">
        <v>89</v>
      </c>
      <c r="H15" s="35"/>
      <c r="I15" s="35"/>
      <c r="J15" s="24">
        <v>0</v>
      </c>
      <c r="K15" s="47">
        <f t="shared" si="2"/>
        <v>146</v>
      </c>
      <c r="L15" s="35"/>
      <c r="M15" s="1" t="s">
        <v>8</v>
      </c>
      <c r="N15">
        <f t="shared" si="1"/>
        <v>1000000024</v>
      </c>
      <c r="O15" s="45" t="s">
        <v>348</v>
      </c>
    </row>
    <row r="16" spans="1:15" x14ac:dyDescent="0.3">
      <c r="A16" s="35">
        <v>0</v>
      </c>
      <c r="B16" s="35" t="s">
        <v>148</v>
      </c>
      <c r="C16" s="35" t="s">
        <v>93</v>
      </c>
      <c r="D16" s="35" t="s">
        <v>52</v>
      </c>
      <c r="E16" s="35">
        <v>-10</v>
      </c>
      <c r="F16" s="35">
        <v>10</v>
      </c>
      <c r="G16" s="36" t="s">
        <v>89</v>
      </c>
      <c r="H16" s="35"/>
      <c r="I16" s="35"/>
      <c r="J16" s="24">
        <v>0</v>
      </c>
      <c r="K16" s="47">
        <f t="shared" si="2"/>
        <v>147</v>
      </c>
      <c r="L16" s="35"/>
      <c r="M16" s="1" t="s">
        <v>8</v>
      </c>
      <c r="N16">
        <f t="shared" si="1"/>
        <v>1000000025</v>
      </c>
      <c r="O16" s="45" t="s">
        <v>348</v>
      </c>
    </row>
    <row r="17" spans="1:15" x14ac:dyDescent="0.3">
      <c r="A17" s="1"/>
      <c r="B17" s="1"/>
      <c r="C17" s="1"/>
      <c r="D17" s="1"/>
      <c r="E17" s="1"/>
      <c r="F17" s="1"/>
      <c r="G17" s="10"/>
      <c r="H17" s="1"/>
      <c r="I17" s="1"/>
      <c r="J17" s="1"/>
      <c r="K17" s="1"/>
      <c r="L17" s="1"/>
      <c r="M17" s="1"/>
    </row>
    <row r="18" spans="1:15" x14ac:dyDescent="0.3">
      <c r="G18" s="11"/>
    </row>
    <row r="19" spans="1:15" x14ac:dyDescent="0.3">
      <c r="A19" s="60" t="s">
        <v>189</v>
      </c>
      <c r="B19" s="61"/>
      <c r="C19" s="61"/>
      <c r="D19" s="61"/>
      <c r="E19" s="61"/>
      <c r="F19" s="61"/>
      <c r="G19" s="61"/>
      <c r="H19" s="61"/>
      <c r="I19" s="61"/>
      <c r="J19" s="61"/>
      <c r="K19" s="61"/>
      <c r="L19" s="61"/>
      <c r="M19" s="61"/>
      <c r="N19" s="61"/>
      <c r="O19" s="61"/>
    </row>
    <row r="20" spans="1:15" x14ac:dyDescent="0.3">
      <c r="A20" s="43">
        <v>0</v>
      </c>
      <c r="B20" s="24" t="s">
        <v>300</v>
      </c>
      <c r="C20" s="24" t="s">
        <v>301</v>
      </c>
      <c r="D20" s="43" t="s">
        <v>1</v>
      </c>
      <c r="E20" s="43">
        <v>0</v>
      </c>
      <c r="F20" s="43">
        <v>7</v>
      </c>
      <c r="G20" s="44"/>
      <c r="H20" s="24"/>
      <c r="I20" s="24"/>
      <c r="J20" s="24">
        <v>0</v>
      </c>
      <c r="K20" s="24">
        <v>148</v>
      </c>
      <c r="L20" s="24" t="s">
        <v>302</v>
      </c>
      <c r="N20">
        <v>3000000000</v>
      </c>
      <c r="O20" s="45" t="s">
        <v>348</v>
      </c>
    </row>
    <row r="21" spans="1:15" x14ac:dyDescent="0.3">
      <c r="A21" s="35">
        <v>0</v>
      </c>
      <c r="B21" s="35" t="s">
        <v>304</v>
      </c>
      <c r="C21" s="35" t="s">
        <v>306</v>
      </c>
      <c r="D21" s="35" t="s">
        <v>42</v>
      </c>
      <c r="E21" s="36" t="s">
        <v>70</v>
      </c>
      <c r="F21" s="36" t="s">
        <v>69</v>
      </c>
      <c r="G21" s="35"/>
      <c r="H21" s="24"/>
      <c r="I21" s="24"/>
      <c r="J21" s="24">
        <v>0</v>
      </c>
      <c r="K21" s="24">
        <f>K20+1</f>
        <v>149</v>
      </c>
      <c r="L21" s="24"/>
      <c r="N21">
        <f t="shared" ref="N21:N23" si="3">SUM(N20,1)</f>
        <v>3000000001</v>
      </c>
      <c r="O21" s="45" t="s">
        <v>348</v>
      </c>
    </row>
    <row r="22" spans="1:15" x14ac:dyDescent="0.3">
      <c r="A22" s="35">
        <v>0</v>
      </c>
      <c r="B22" s="35" t="s">
        <v>305</v>
      </c>
      <c r="C22" s="35" t="s">
        <v>307</v>
      </c>
      <c r="D22" s="35" t="s">
        <v>42</v>
      </c>
      <c r="E22" s="36" t="s">
        <v>70</v>
      </c>
      <c r="F22" s="36" t="s">
        <v>69</v>
      </c>
      <c r="G22" s="35"/>
      <c r="H22" s="24"/>
      <c r="I22" s="24"/>
      <c r="J22" s="24">
        <v>0</v>
      </c>
      <c r="K22" s="24">
        <f t="shared" ref="K22:K23" si="4">K21+1</f>
        <v>150</v>
      </c>
      <c r="L22" s="24"/>
      <c r="N22">
        <f t="shared" si="3"/>
        <v>3000000002</v>
      </c>
      <c r="O22" s="45" t="s">
        <v>348</v>
      </c>
    </row>
    <row r="23" spans="1:15" x14ac:dyDescent="0.3">
      <c r="A23" s="43">
        <v>0</v>
      </c>
      <c r="B23" s="35" t="s">
        <v>315</v>
      </c>
      <c r="C23" s="35" t="s">
        <v>308</v>
      </c>
      <c r="D23" s="35" t="s">
        <v>42</v>
      </c>
      <c r="E23" s="36" t="s">
        <v>70</v>
      </c>
      <c r="F23" s="36" t="s">
        <v>69</v>
      </c>
      <c r="G23" s="44"/>
      <c r="H23" s="24"/>
      <c r="I23" s="24"/>
      <c r="J23" s="24">
        <v>0</v>
      </c>
      <c r="K23" s="24">
        <f t="shared" si="4"/>
        <v>151</v>
      </c>
      <c r="L23" s="24"/>
      <c r="N23">
        <f t="shared" si="3"/>
        <v>3000000003</v>
      </c>
      <c r="O23" s="45" t="s">
        <v>348</v>
      </c>
    </row>
    <row r="24" spans="1:15" x14ac:dyDescent="0.3">
      <c r="A24" s="16"/>
      <c r="G24" s="11"/>
    </row>
    <row r="25" spans="1:15" x14ac:dyDescent="0.3">
      <c r="A25" s="16"/>
      <c r="G25" s="11"/>
    </row>
    <row r="26" spans="1:15" x14ac:dyDescent="0.3">
      <c r="A26" s="16"/>
      <c r="G26" s="11"/>
    </row>
    <row r="27" spans="1:15" x14ac:dyDescent="0.3">
      <c r="A27" s="16"/>
      <c r="G27" s="11"/>
    </row>
    <row r="28" spans="1:15" x14ac:dyDescent="0.3">
      <c r="A28" s="16"/>
    </row>
    <row r="29" spans="1:15" x14ac:dyDescent="0.3">
      <c r="A29" s="16"/>
    </row>
    <row r="30" spans="1:15" x14ac:dyDescent="0.3">
      <c r="A30" s="16"/>
    </row>
    <row r="31" spans="1:15" x14ac:dyDescent="0.3">
      <c r="A31" s="16"/>
    </row>
    <row r="32" spans="1:15" x14ac:dyDescent="0.3">
      <c r="A32" s="16"/>
    </row>
  </sheetData>
  <mergeCells count="15">
    <mergeCell ref="O1:O2"/>
    <mergeCell ref="A3:O3"/>
    <mergeCell ref="A10:O10"/>
    <mergeCell ref="A19:O19"/>
    <mergeCell ref="N1:N2"/>
    <mergeCell ref="A1:A2"/>
    <mergeCell ref="B1:B2"/>
    <mergeCell ref="C1:C2"/>
    <mergeCell ref="E1:F1"/>
    <mergeCell ref="D1:D2"/>
    <mergeCell ref="G1:G2"/>
    <mergeCell ref="H1:I1"/>
    <mergeCell ref="L1:L2"/>
    <mergeCell ref="M1:M2"/>
    <mergeCell ref="J1:K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1C5DCE-FAE8-40A0-A7D1-2AA4A3D8DEC5}">
  <sheetPr codeName="Hoja5"/>
  <dimension ref="A1"/>
  <sheetViews>
    <sheetView workbookViewId="0">
      <selection activeCell="G14" sqref="G14"/>
    </sheetView>
  </sheetViews>
  <sheetFormatPr baseColWidth="10" defaultRowHeight="14.4" x14ac:dyDescent="0.3"/>
  <sheetData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Defines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nStaticDB">
                <anchor moveWithCells="1" sizeWithCells="1">
                  <from>
                    <xdr:col>2</xdr:col>
                    <xdr:colOff>784860</xdr:colOff>
                    <xdr:row>8</xdr:row>
                    <xdr:rowOff>0</xdr:rowOff>
                  </from>
                  <to>
                    <xdr:col>5</xdr:col>
                    <xdr:colOff>7620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Entradas Digitales</vt:lpstr>
      <vt:lpstr>Entradas Analogicas</vt:lpstr>
      <vt:lpstr>Salidas Digitales</vt:lpstr>
      <vt:lpstr>Salidas Analogicas</vt:lpstr>
      <vt:lpstr>Macros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OTI</dc:creator>
  <cp:lastModifiedBy>OTI</cp:lastModifiedBy>
  <cp:lastPrinted>2020-04-03T16:00:35Z</cp:lastPrinted>
  <dcterms:created xsi:type="dcterms:W3CDTF">2019-12-06T17:16:21Z</dcterms:created>
  <dcterms:modified xsi:type="dcterms:W3CDTF">2020-06-02T18:40:54Z</dcterms:modified>
</cp:coreProperties>
</file>